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Яна\Desktop\"/>
    </mc:Choice>
  </mc:AlternateContent>
  <xr:revisionPtr revIDLastSave="0" documentId="13_ncr:1_{11B8E98D-DE09-40B0-9B87-528859F65788}" xr6:coauthVersionLast="47" xr6:coauthVersionMax="47" xr10:uidLastSave="{00000000-0000-0000-0000-000000000000}"/>
  <bookViews>
    <workbookView xWindow="-110" yWindow="-110" windowWidth="25820" windowHeight="15500" activeTab="4" xr2:uid="{00000000-000D-0000-FFFF-FFFF00000000}"/>
  </bookViews>
  <sheets>
    <sheet name="ABC_менеджеры_сумма" sheetId="4" r:id="rId1"/>
    <sheet name="ABC_Менеджеры_сделки" sheetId="5" r:id="rId2"/>
    <sheet name="Данные" sheetId="1" r:id="rId3"/>
    <sheet name="ABC Менеджеры" sheetId="2" r:id="rId4"/>
    <sheet name="ABC_XYZ Клиенты" sheetId="3" r:id="rId5"/>
  </sheets>
  <definedNames>
    <definedName name="_xlnm._FilterDatabase" localSheetId="3" hidden="1">'ABC Менеджеры'!$A$7:$D$27</definedName>
    <definedName name="_xlnm._FilterDatabase" localSheetId="4" hidden="1">'ABC_XYZ Клиенты'!$I$1:$I$3010</definedName>
    <definedName name="_xlnm._FilterDatabase" localSheetId="1" hidden="1">ABC_Менеджеры_сделки!$A$22:$I$42</definedName>
    <definedName name="_xlnm._FilterDatabase" localSheetId="0" hidden="1">ABC_менеджеры_сумма!$A$22:$I$42</definedName>
  </definedNames>
  <calcPr calcId="191029"/>
  <pivotCaches>
    <pivotCache cacheId="7" r:id="rId6"/>
    <pivotCache cacheId="3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" i="3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8" i="2"/>
  <c r="C26" i="2"/>
  <c r="C11" i="2"/>
  <c r="C24" i="2"/>
  <c r="C21" i="2"/>
  <c r="C18" i="2"/>
  <c r="C13" i="2"/>
  <c r="C16" i="2"/>
  <c r="C9" i="2"/>
  <c r="C14" i="2"/>
  <c r="C23" i="2"/>
  <c r="C17" i="2"/>
  <c r="C12" i="2"/>
  <c r="C19" i="2"/>
  <c r="C22" i="2"/>
  <c r="C20" i="2"/>
  <c r="C8" i="2"/>
  <c r="C15" i="2"/>
  <c r="C25" i="2"/>
  <c r="C10" i="2"/>
  <c r="C27" i="2"/>
  <c r="J3" i="5"/>
  <c r="J7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23" i="5"/>
  <c r="D24" i="5"/>
  <c r="F24" i="5" s="1"/>
  <c r="D25" i="5"/>
  <c r="F25" i="5" s="1"/>
  <c r="D26" i="5"/>
  <c r="F26" i="5" s="1"/>
  <c r="D27" i="5"/>
  <c r="F27" i="5" s="1"/>
  <c r="D28" i="5"/>
  <c r="F28" i="5" s="1"/>
  <c r="D29" i="5"/>
  <c r="F29" i="5" s="1"/>
  <c r="D30" i="5"/>
  <c r="F30" i="5" s="1"/>
  <c r="D31" i="5"/>
  <c r="F31" i="5" s="1"/>
  <c r="D32" i="5"/>
  <c r="F32" i="5" s="1"/>
  <c r="D33" i="5"/>
  <c r="F33" i="5" s="1"/>
  <c r="D34" i="5"/>
  <c r="F34" i="5" s="1"/>
  <c r="D35" i="5"/>
  <c r="F35" i="5" s="1"/>
  <c r="D36" i="5"/>
  <c r="F36" i="5" s="1"/>
  <c r="D37" i="5"/>
  <c r="F37" i="5" s="1"/>
  <c r="D38" i="5"/>
  <c r="F38" i="5" s="1"/>
  <c r="G38" i="5" s="1"/>
  <c r="D39" i="5"/>
  <c r="F39" i="5" s="1"/>
  <c r="D40" i="5"/>
  <c r="F40" i="5" s="1"/>
  <c r="D41" i="5"/>
  <c r="F41" i="5" s="1"/>
  <c r="D42" i="5"/>
  <c r="F42" i="5" s="1"/>
  <c r="D23" i="5"/>
  <c r="F23" i="5" s="1"/>
  <c r="J7" i="4"/>
  <c r="E27" i="4"/>
  <c r="E28" i="4"/>
  <c r="E29" i="4"/>
  <c r="E30" i="4"/>
  <c r="E24" i="4"/>
  <c r="E25" i="4"/>
  <c r="E26" i="4"/>
  <c r="E31" i="4"/>
  <c r="E32" i="4"/>
  <c r="E33" i="4"/>
  <c r="E34" i="4"/>
  <c r="E35" i="4"/>
  <c r="E36" i="4"/>
  <c r="E37" i="4"/>
  <c r="E38" i="4"/>
  <c r="E39" i="4"/>
  <c r="E40" i="4"/>
  <c r="E41" i="4"/>
  <c r="E42" i="4"/>
  <c r="E23" i="4"/>
  <c r="D42" i="4"/>
  <c r="F42" i="4" s="1"/>
  <c r="D41" i="4"/>
  <c r="F41" i="4" s="1"/>
  <c r="D40" i="4"/>
  <c r="F40" i="4" s="1"/>
  <c r="D39" i="4"/>
  <c r="F39" i="4" s="1"/>
  <c r="D38" i="4"/>
  <c r="F38" i="4" s="1"/>
  <c r="D37" i="4"/>
  <c r="F37" i="4" s="1"/>
  <c r="D36" i="4"/>
  <c r="F36" i="4" s="1"/>
  <c r="D35" i="4"/>
  <c r="F35" i="4" s="1"/>
  <c r="G35" i="4" s="1"/>
  <c r="D34" i="4"/>
  <c r="F34" i="4" s="1"/>
  <c r="D33" i="4"/>
  <c r="F33" i="4" s="1"/>
  <c r="D32" i="4"/>
  <c r="F32" i="4" s="1"/>
  <c r="D31" i="4"/>
  <c r="F31" i="4" s="1"/>
  <c r="D30" i="4"/>
  <c r="F30" i="4" s="1"/>
  <c r="D29" i="4"/>
  <c r="F29" i="4" s="1"/>
  <c r="D28" i="4"/>
  <c r="F28" i="4" s="1"/>
  <c r="D27" i="4"/>
  <c r="F27" i="4" s="1"/>
  <c r="D26" i="4"/>
  <c r="F26" i="4" s="1"/>
  <c r="D25" i="4"/>
  <c r="F25" i="4" s="1"/>
  <c r="D24" i="4"/>
  <c r="F24" i="4" s="1"/>
  <c r="D23" i="4"/>
  <c r="F23" i="4" s="1"/>
  <c r="G42" i="4" l="1"/>
  <c r="G33" i="5"/>
  <c r="G39" i="5"/>
  <c r="G37" i="5"/>
  <c r="G36" i="5"/>
  <c r="G34" i="5"/>
  <c r="H35" i="5"/>
  <c r="I35" i="5" s="1"/>
  <c r="H34" i="5"/>
  <c r="I34" i="5" s="1"/>
  <c r="G32" i="5"/>
  <c r="H33" i="5"/>
  <c r="I33" i="5" s="1"/>
  <c r="H32" i="5"/>
  <c r="I32" i="5" s="1"/>
  <c r="H36" i="5"/>
  <c r="I36" i="5" s="1"/>
  <c r="H31" i="5"/>
  <c r="I31" i="5" s="1"/>
  <c r="H30" i="5"/>
  <c r="I30" i="5" s="1"/>
  <c r="I27" i="5"/>
  <c r="H29" i="5"/>
  <c r="I29" i="5" s="1"/>
  <c r="G35" i="5"/>
  <c r="H28" i="5"/>
  <c r="I28" i="5" s="1"/>
  <c r="H42" i="5"/>
  <c r="I42" i="5" s="1"/>
  <c r="H26" i="5"/>
  <c r="I26" i="5" s="1"/>
  <c r="H41" i="5"/>
  <c r="I41" i="5" s="1"/>
  <c r="H25" i="5"/>
  <c r="I25" i="5" s="1"/>
  <c r="H23" i="5"/>
  <c r="I23" i="5" s="1"/>
  <c r="H27" i="5"/>
  <c r="H40" i="5"/>
  <c r="I40" i="5" s="1"/>
  <c r="H24" i="5"/>
  <c r="I24" i="5" s="1"/>
  <c r="H39" i="5"/>
  <c r="I39" i="5" s="1"/>
  <c r="H38" i="5"/>
  <c r="I38" i="5" s="1"/>
  <c r="H37" i="5"/>
  <c r="I37" i="5" s="1"/>
  <c r="G31" i="5"/>
  <c r="G30" i="5"/>
  <c r="G29" i="5"/>
  <c r="G28" i="5"/>
  <c r="G23" i="5"/>
  <c r="G27" i="5"/>
  <c r="G42" i="5"/>
  <c r="G26" i="5"/>
  <c r="G41" i="5"/>
  <c r="G25" i="5"/>
  <c r="G40" i="5"/>
  <c r="G24" i="5"/>
  <c r="H30" i="4"/>
  <c r="I30" i="4" s="1"/>
  <c r="H31" i="4"/>
  <c r="I31" i="4" s="1"/>
  <c r="H35" i="4"/>
  <c r="I35" i="4" s="1"/>
  <c r="H34" i="4"/>
  <c r="I34" i="4" s="1"/>
  <c r="H33" i="4"/>
  <c r="I33" i="4" s="1"/>
  <c r="H32" i="4"/>
  <c r="I32" i="4" s="1"/>
  <c r="H28" i="4"/>
  <c r="I28" i="4" s="1"/>
  <c r="H23" i="4"/>
  <c r="I23" i="4" s="1"/>
  <c r="H27" i="4"/>
  <c r="I27" i="4" s="1"/>
  <c r="G38" i="4"/>
  <c r="H42" i="4"/>
  <c r="I42" i="4" s="1"/>
  <c r="H26" i="4"/>
  <c r="I26" i="4" s="1"/>
  <c r="H41" i="4"/>
  <c r="I41" i="4" s="1"/>
  <c r="H25" i="4"/>
  <c r="I25" i="4" s="1"/>
  <c r="H24" i="4"/>
  <c r="I24" i="4" s="1"/>
  <c r="H39" i="4"/>
  <c r="I39" i="4" s="1"/>
  <c r="H40" i="4"/>
  <c r="I40" i="4" s="1"/>
  <c r="H38" i="4"/>
  <c r="I38" i="4" s="1"/>
  <c r="H29" i="4"/>
  <c r="I29" i="4" s="1"/>
  <c r="H37" i="4"/>
  <c r="I37" i="4" s="1"/>
  <c r="H36" i="4"/>
  <c r="I36" i="4" s="1"/>
  <c r="G30" i="4"/>
  <c r="G26" i="4"/>
  <c r="G37" i="4"/>
  <c r="G36" i="4"/>
  <c r="G31" i="4"/>
  <c r="G33" i="4"/>
  <c r="G28" i="4"/>
  <c r="G32" i="4"/>
  <c r="G34" i="4"/>
  <c r="G40" i="4"/>
  <c r="G24" i="4"/>
  <c r="G39" i="4"/>
  <c r="G25" i="4"/>
  <c r="G23" i="4"/>
  <c r="G29" i="4"/>
  <c r="G41" i="4"/>
  <c r="G27" i="4"/>
</calcChain>
</file>

<file path=xl/sharedStrings.xml><?xml version="1.0" encoding="utf-8"?>
<sst xmlns="http://schemas.openxmlformats.org/spreadsheetml/2006/main" count="6778" uniqueCount="317">
  <si>
    <t>ФИО менеджера</t>
  </si>
  <si>
    <t>ФИО клиента</t>
  </si>
  <si>
    <t>Дата сделки</t>
  </si>
  <si>
    <t>Сумма сделки</t>
  </si>
  <si>
    <t>Иванова Анна Сергеевна</t>
  </si>
  <si>
    <t>Яковлев Артем Игоревич</t>
  </si>
  <si>
    <t>Семенова Ирина Валерьевна</t>
  </si>
  <si>
    <t>Ткаченко Андрей Олегович</t>
  </si>
  <si>
    <t>Орлов Павел Денисович</t>
  </si>
  <si>
    <t>Фролов Сергей Викторович</t>
  </si>
  <si>
    <t>ФИО Менеджера (по алфавиту)</t>
  </si>
  <si>
    <t>ABC по сумме сделки</t>
  </si>
  <si>
    <t>ABC по количеству сделок</t>
  </si>
  <si>
    <t>A</t>
  </si>
  <si>
    <t>B</t>
  </si>
  <si>
    <t>C</t>
  </si>
  <si>
    <t>ФИО Клиента (все клиенты)</t>
  </si>
  <si>
    <t>ABC</t>
  </si>
  <si>
    <t>XYZ</t>
  </si>
  <si>
    <t>Z</t>
  </si>
  <si>
    <t>Y</t>
  </si>
  <si>
    <t>X</t>
  </si>
  <si>
    <t>Сводная таблица</t>
  </si>
  <si>
    <t>количество клиентов каждой категории</t>
  </si>
  <si>
    <t>Сумма сделок в каждой категории</t>
  </si>
  <si>
    <t>Кузнецов Максим Алексеевич</t>
  </si>
  <si>
    <t>Морозова Елена Андреевна</t>
  </si>
  <si>
    <t>Волков Дмитрий Романович</t>
  </si>
  <si>
    <t>Лебедев Николай Олегович</t>
  </si>
  <si>
    <t>Соколова Мария Ильинична</t>
  </si>
  <si>
    <t>Новикова Ольга Викторовна</t>
  </si>
  <si>
    <t>Козлов Алексей Михайлович</t>
  </si>
  <si>
    <t>Павлова Татьяна Сергеевна</t>
  </si>
  <si>
    <t>Смирнов Евгений Андреевич</t>
  </si>
  <si>
    <t>Попов Кирилл Денисович</t>
  </si>
  <si>
    <t>Васильева Дарья Павловна</t>
  </si>
  <si>
    <t>Михайлова Алина Романовна</t>
  </si>
  <si>
    <t>Федорова Ксения Максимовна</t>
  </si>
  <si>
    <t>Егоров Илья Александрович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</si>
  <si>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</si>
  <si>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</si>
  <si>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</si>
  <si>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</si>
  <si>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</si>
  <si>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</si>
  <si>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</si>
  <si>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</si>
  <si>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Захаров Павел Артемович</t>
  </si>
  <si>
    <t>Орлова Валерия Олеговна</t>
  </si>
  <si>
    <t>Новикова Екатерина Ивановна</t>
  </si>
  <si>
    <t>Петров Николай Александрович</t>
  </si>
  <si>
    <t>Михайлов Юрий Павлович</t>
  </si>
  <si>
    <t>Григорьева Марина Антоновна</t>
  </si>
  <si>
    <t>Степанов Алексей Александрович</t>
  </si>
  <si>
    <t>Козлов Максим Антонович</t>
  </si>
  <si>
    <t>Белов Юрий Максимович</t>
  </si>
  <si>
    <t>Степанова Ольга Денисовна</t>
  </si>
  <si>
    <t>Козлов Артем Кириллович</t>
  </si>
  <si>
    <t>Иванов Сергей Кириллович</t>
  </si>
  <si>
    <t>Сидорова Полина Михайловна</t>
  </si>
  <si>
    <t>Степанов Михаил Олегович</t>
  </si>
  <si>
    <t>Борисов Борис Александрович</t>
  </si>
  <si>
    <t>Смирнова Мария Викторовна</t>
  </si>
  <si>
    <t>Андреев Федор Ильич</t>
  </si>
  <si>
    <t>Куликов Вадим Кириллович</t>
  </si>
  <si>
    <t>Федорова Александра Олеговна</t>
  </si>
  <si>
    <t>Баранова Ольга Евгеньевна</t>
  </si>
  <si>
    <t>Васильев Олег Федорович</t>
  </si>
  <si>
    <t>Семенова Екатерина Алексеевна</t>
  </si>
  <si>
    <t>Соколова Елена Владимировна</t>
  </si>
  <si>
    <t>Степанов Юрий Николаевич</t>
  </si>
  <si>
    <t>Яковлев Андрей Артемович</t>
  </si>
  <si>
    <t>Зайцев Дмитрий Алексеевич</t>
  </si>
  <si>
    <t>Павлова Юлия Ильинична</t>
  </si>
  <si>
    <t>Федоров Илья Михайлович</t>
  </si>
  <si>
    <t>Козлова Надежда Игоревна</t>
  </si>
  <si>
    <t>Сидоров Кирилл Андреевич</t>
  </si>
  <si>
    <t>Воробьев Антон Николаевич</t>
  </si>
  <si>
    <t>Кузнецов Борис Максимович</t>
  </si>
  <si>
    <t>Степанов Борис Александрович</t>
  </si>
  <si>
    <t>Павлова Светлана Павловна</t>
  </si>
  <si>
    <t>Ковалев Дмитрий Павлович</t>
  </si>
  <si>
    <t>Васильев Илья Антонович</t>
  </si>
  <si>
    <t>Куликов Артем Максимович</t>
  </si>
  <si>
    <t>Васильев Павел Дмитриевич</t>
  </si>
  <si>
    <t>Воробьева Наталья Александровна</t>
  </si>
  <si>
    <t>Павлов Игорь Дмитриевич</t>
  </si>
  <si>
    <t>Баранов Виктор Антонович</t>
  </si>
  <si>
    <t>Макарова Надежда Денисовна</t>
  </si>
  <si>
    <t>Петрова Мария Юрьевна</t>
  </si>
  <si>
    <t>Ковалев Владимир Федорович</t>
  </si>
  <si>
    <t>Морозов Антон Антонович</t>
  </si>
  <si>
    <t>Васильев Артем Евгеньевич</t>
  </si>
  <si>
    <t>Григорьев Никита Антонович</t>
  </si>
  <si>
    <t>Зайцева Ирина Евгеньевна</t>
  </si>
  <si>
    <t>Новикова Мария Андреевна</t>
  </si>
  <si>
    <t>Смирнов Михаил Николаевич</t>
  </si>
  <si>
    <t>Орлова Елена Алексеевна</t>
  </si>
  <si>
    <t>Андреев Владимир Денисович</t>
  </si>
  <si>
    <t>Кузнецов Владимир Евгеньевич</t>
  </si>
  <si>
    <t>Воробьев Сергей Максимович</t>
  </si>
  <si>
    <t>Орлов Сергей Дмитриевич</t>
  </si>
  <si>
    <t>Зайцев Степан Олегович</t>
  </si>
  <si>
    <t>Соколов Андрей Алексеевич</t>
  </si>
  <si>
    <t>Зайцев Алексей Павлович</t>
  </si>
  <si>
    <t>Романова Валерия Павловна</t>
  </si>
  <si>
    <t>Кузнецов Павел Андреевич</t>
  </si>
  <si>
    <t>Воробьев Кирилл Алексеевич</t>
  </si>
  <si>
    <t>Михайлова Мария Максимовна</t>
  </si>
  <si>
    <t>Орлов Артем Иванович</t>
  </si>
  <si>
    <t>Сидоров Максим Иванович</t>
  </si>
  <si>
    <t>Григорьев Вадим Кириллович</t>
  </si>
  <si>
    <t>Лебедева Марина Андреевна</t>
  </si>
  <si>
    <t>Морозова Софья Павловна</t>
  </si>
  <si>
    <t>Степанова Ксения Ильинична</t>
  </si>
  <si>
    <t>Борисов Игорь Евгеньевич</t>
  </si>
  <si>
    <t>Баранов Евгений Борисович</t>
  </si>
  <si>
    <t>Лебедева Ирина Николаевна</t>
  </si>
  <si>
    <t>Романова Валерия Сергеевна</t>
  </si>
  <si>
    <t>Новикова Екатерина Федоровна</t>
  </si>
  <si>
    <t>Николаева Татьяна Евгеньевна</t>
  </si>
  <si>
    <t>Иванов Павел Денисович</t>
  </si>
  <si>
    <t>Романова Полина Денисовна</t>
  </si>
  <si>
    <t>Ковалева Наталья Ильинична</t>
  </si>
  <si>
    <t>Романов Кирилл Дмитриевич</t>
  </si>
  <si>
    <t>Яковлева Валерия Николаевна</t>
  </si>
  <si>
    <t>Иванова Анастасия Романовна</t>
  </si>
  <si>
    <t>Алексеев Илья Дмитриевич</t>
  </si>
  <si>
    <t>Воробьев Алексей Николаевич</t>
  </si>
  <si>
    <t>Лебедева Светлана Антоновна</t>
  </si>
  <si>
    <t>Сидорова Марина Владимировна</t>
  </si>
  <si>
    <t>Макаров Виктор Владимирович</t>
  </si>
  <si>
    <t>Сидорова Екатерина Денисовна</t>
  </si>
  <si>
    <t>Тарасова Ирина Ивановна</t>
  </si>
  <si>
    <t>Андреева Ольга Олеговна</t>
  </si>
  <si>
    <t>Волкова Юлия Викторовна</t>
  </si>
  <si>
    <t>Николаева Софья Игоревна</t>
  </si>
  <si>
    <t>Зайцев Андрей Сергеевич</t>
  </si>
  <si>
    <t>Егорова Надежда Максимовна</t>
  </si>
  <si>
    <t>Макарова Александра Олеговна</t>
  </si>
  <si>
    <t>Козлов Александр Викторович</t>
  </si>
  <si>
    <t>Волкова Алина Александровна</t>
  </si>
  <si>
    <t>Кузнецов Владимир Денисович</t>
  </si>
  <si>
    <t>Петров Николай Олегович</t>
  </si>
  <si>
    <t>Морозов Евгений Федорович</t>
  </si>
  <si>
    <t>Григорьева Анна Денисовна</t>
  </si>
  <si>
    <t>Тарасова Мария Ивановна</t>
  </si>
  <si>
    <t>Белов Вадим Викторович</t>
  </si>
  <si>
    <t>Смирнов Игорь Евгеньевич</t>
  </si>
  <si>
    <t>Зайцев Кирилл Сергеевич</t>
  </si>
  <si>
    <t>Борисова Татьяна Максимовна</t>
  </si>
  <si>
    <t>Куликова Анастасия Викторовна</t>
  </si>
  <si>
    <t>Егоров Сергей Максимович</t>
  </si>
  <si>
    <t>Баранов Антон Александрович</t>
  </si>
  <si>
    <t>Комаров Борис Борисович</t>
  </si>
  <si>
    <t>Волкова Юлия Федоровна</t>
  </si>
  <si>
    <t>Козлова Александра Николаевна</t>
  </si>
  <si>
    <t>Яковлева Татьяна Юрьевна</t>
  </si>
  <si>
    <t>Андреев Андрей Игоревич</t>
  </si>
  <si>
    <t>Ковалев Александр Романович</t>
  </si>
  <si>
    <t>Макаров Виктор Александрович</t>
  </si>
  <si>
    <t>Орлова Екатерина Федоровна</t>
  </si>
  <si>
    <t>Михайлова Анастасия Денисовна</t>
  </si>
  <si>
    <t>Соколов Степан Сергеевич</t>
  </si>
  <si>
    <t>Куликова Людмила Викторовна</t>
  </si>
  <si>
    <t>Егоров Андрей Иванович</t>
  </si>
  <si>
    <t>Павлова Татьяна Викторовна</t>
  </si>
  <si>
    <t>Попова Ирина Александровна</t>
  </si>
  <si>
    <t>Никитина Александра Дмитриевна</t>
  </si>
  <si>
    <t>Смирнов Вадим Романович</t>
  </si>
  <si>
    <t>Сергеева Софья Юрьевна</t>
  </si>
  <si>
    <t>Степанов Максим Евгеньевич</t>
  </si>
  <si>
    <t>Сергеев Вадим Иванович</t>
  </si>
  <si>
    <t>Иванов Борис Сергеевич</t>
  </si>
  <si>
    <t>Комарова Людмила Сергеевна</t>
  </si>
  <si>
    <t>Иванова Валерия Юрьевна</t>
  </si>
  <si>
    <t>Кузнецов Никита Антонович</t>
  </si>
  <si>
    <t>Смирнова Ксения Владимировна</t>
  </si>
  <si>
    <t>Соколова Юлия Романовна</t>
  </si>
  <si>
    <t>Федоров Михаил Михайлович</t>
  </si>
  <si>
    <t>Воробьева Александра Ивановна</t>
  </si>
  <si>
    <t>Борисова Анастасия Александровна</t>
  </si>
  <si>
    <t>Иванов Денис Евгеньевич</t>
  </si>
  <si>
    <t>Лебедев Сергей Романович</t>
  </si>
  <si>
    <t>Михайлова Полина Сергеевна</t>
  </si>
  <si>
    <t>Волкова Анна Андреевна</t>
  </si>
  <si>
    <t>Николаев Иван Борисович</t>
  </si>
  <si>
    <t>Комарова Анастасия Алексеевна</t>
  </si>
  <si>
    <t>Тарасова Дарья Алексеевна</t>
  </si>
  <si>
    <t>Попов Алексей Александрович</t>
  </si>
  <si>
    <t>Попов Степан Викторович</t>
  </si>
  <si>
    <t>Новиков Михаил Алексеевич</t>
  </si>
  <si>
    <t>Семенов Борис Павлович</t>
  </si>
  <si>
    <t>Сидорова Надежда Михайловна</t>
  </si>
  <si>
    <t>Федоров Артем Викторович</t>
  </si>
  <si>
    <t>Смирнов Иван Евгеньевич</t>
  </si>
  <si>
    <t>Зайцева Ольга Викторовна</t>
  </si>
  <si>
    <t>Федорова Ирина Федоровна</t>
  </si>
  <si>
    <t>Орлова Ксения Михайловна</t>
  </si>
  <si>
    <t>Павлова Анастасия Романовна</t>
  </si>
  <si>
    <t>Алексеева Полина Евгеньевна</t>
  </si>
  <si>
    <t>Семенова Анастасия Сергеевна</t>
  </si>
  <si>
    <t>Иванова Дарья Антоновна</t>
  </si>
  <si>
    <t>Соколова Людмила Михайловна</t>
  </si>
  <si>
    <t>Зайцева Елена Юрьевна</t>
  </si>
  <si>
    <t>Захарова Софья Максимовна</t>
  </si>
  <si>
    <t>Семенова Мария Максимовна</t>
  </si>
  <si>
    <t>Борисова Ксения Николаевна</t>
  </si>
  <si>
    <t>Белов Степан Артемович</t>
  </si>
  <si>
    <t>Куликова Валерия Антоновна</t>
  </si>
  <si>
    <t>Степанов Кирилл Ильич</t>
  </si>
  <si>
    <t>Воробьева Анастасия Федоровна</t>
  </si>
  <si>
    <t>Егорова Елена Сергеевна</t>
  </si>
  <si>
    <t>Михайлова Полина Федоровна</t>
  </si>
  <si>
    <t>Морозов Максим Николаевич</t>
  </si>
  <si>
    <t>Захарова Людмила Максимовна</t>
  </si>
  <si>
    <t>Сидорова Софья Федоровна</t>
  </si>
  <si>
    <t>Тарасов Никита Артемович</t>
  </si>
  <si>
    <t>Петров Сергей Дмитриевич</t>
  </si>
  <si>
    <t>Комаров Алексей Антонович</t>
  </si>
  <si>
    <t>Комарова Дарья Максимовна</t>
  </si>
  <si>
    <t>Сидоров Михаил Романович</t>
  </si>
  <si>
    <t>Волкова Алина Евгеньевна</t>
  </si>
  <si>
    <t>Федорова Ирина Дмитриевна</t>
  </si>
  <si>
    <t>Васильев Александр Игоревич</t>
  </si>
  <si>
    <t>Семенов Никита Романович</t>
  </si>
  <si>
    <t>Козлова Александра Ильинична</t>
  </si>
  <si>
    <t>Захарова Анастасия Павловна</t>
  </si>
  <si>
    <t>Алексеев Андрей Александрович</t>
  </si>
  <si>
    <t>Соколова Ирина Викторовна</t>
  </si>
  <si>
    <t>Лебедев Павел Артемович</t>
  </si>
  <si>
    <t>Белов Степан Дмитриевич</t>
  </si>
  <si>
    <t>Павлов Михаил Павлович</t>
  </si>
  <si>
    <t>Иванова Людмила Игоревна</t>
  </si>
  <si>
    <t>Никитина Софья Ильинична</t>
  </si>
  <si>
    <t>Романов Кирилл Романович</t>
  </si>
  <si>
    <t>Соловьева Ксения Олеговна</t>
  </si>
  <si>
    <t>Егоров Иван Максимович</t>
  </si>
  <si>
    <t>Новиков Павел Романович</t>
  </si>
  <si>
    <t>Ковалева Александра Михайловна</t>
  </si>
  <si>
    <t>Тарасова Полина Викторовна</t>
  </si>
  <si>
    <t>Павлов Николай Андреевич</t>
  </si>
  <si>
    <t>Новиков Дмитрий Дмитриевич</t>
  </si>
  <si>
    <t>Попов Артем Антонович</t>
  </si>
  <si>
    <t>Морозова Екатерина Ивановна</t>
  </si>
  <si>
    <t>Павлова Екатерина Романовна</t>
  </si>
  <si>
    <t>Николаев Кирилл Викторович</t>
  </si>
  <si>
    <t>Тарасов Антон Борисович</t>
  </si>
  <si>
    <t>Куликова Дарья Викторовна</t>
  </si>
  <si>
    <t>Комарова Александра Владимировна</t>
  </si>
  <si>
    <t>Тарасова Надежда Николаевна</t>
  </si>
  <si>
    <t>Петров Борис Николаевич</t>
  </si>
  <si>
    <t>Степанов Владимир Алексеевич</t>
  </si>
  <si>
    <t>Соколова Людмила Игоревна</t>
  </si>
  <si>
    <t>Попова Софья Николаевна</t>
  </si>
  <si>
    <t>Зайцев Павел Михайлович</t>
  </si>
  <si>
    <t>Михайлова Мария Михайловна</t>
  </si>
  <si>
    <t>Сергеев Борис Александрович</t>
  </si>
  <si>
    <t>Сидоров Федор Кириллович</t>
  </si>
  <si>
    <t>Воробьева Анна Дмитриевна</t>
  </si>
  <si>
    <t>Михайлова Александра Николаевна</t>
  </si>
  <si>
    <t>Алексеева Ксения Алексеевна</t>
  </si>
  <si>
    <t>Николаев Артем Викторович</t>
  </si>
  <si>
    <t>Павлов Вадим Борисович</t>
  </si>
  <si>
    <t>Григорьева Надежда Сергеевна</t>
  </si>
  <si>
    <t>Смирнова Надежда Алексеевна</t>
  </si>
  <si>
    <t>Васильева Алина Ивановна</t>
  </si>
  <si>
    <t>Комаров Степан Федорович</t>
  </si>
  <si>
    <t>Волкова Надежда Андреевна</t>
  </si>
  <si>
    <t>Борисов Вадим Артемович</t>
  </si>
  <si>
    <t>Сергеева Ксения Алексеевна</t>
  </si>
  <si>
    <t>Белов Евгений Дмитриевич</t>
  </si>
  <si>
    <t>Комарова Юлия Дмитриевна</t>
  </si>
  <si>
    <t>Семенов Олег Олегович</t>
  </si>
  <si>
    <t>Андреева Полина Ильинична</t>
  </si>
  <si>
    <t>Куликов Дмитрий Павлович</t>
  </si>
  <si>
    <t>Ковалев Никита Андреевич</t>
  </si>
  <si>
    <t>Семенова Алина Александровна</t>
  </si>
  <si>
    <t>Волкова Елена Ивановна</t>
  </si>
  <si>
    <t>Семенов Евгений Кириллович</t>
  </si>
  <si>
    <t>Козлов Андрей Кириллович</t>
  </si>
  <si>
    <t>Попов Денис Михайлович</t>
  </si>
  <si>
    <t>Андреева Светлана Ильинична</t>
  </si>
  <si>
    <t>Романова Виктория Дмитриевна</t>
  </si>
  <si>
    <t>Иванов Михаил Дмитриевич</t>
  </si>
  <si>
    <t>Иванов Юрий Дмитриевич</t>
  </si>
  <si>
    <t>Комарова Светлана Викторовна</t>
  </si>
  <si>
    <t>Новикова Елена Александровна</t>
  </si>
  <si>
    <t>Макаров Андрей Игоревич</t>
  </si>
  <si>
    <t>Козлова Виктория Александровна</t>
  </si>
  <si>
    <t>Баранов Роман Артемович</t>
  </si>
  <si>
    <t>Куликов Сергей Романович</t>
  </si>
  <si>
    <t>Николаева Полина Владимировна</t>
  </si>
  <si>
    <t>Сидорова Алина Юрьевна</t>
  </si>
  <si>
    <t>Названия строк</t>
  </si>
  <si>
    <t>Сумма по полю Сумма сделки</t>
  </si>
  <si>
    <t>Номер</t>
  </si>
  <si>
    <t>20/30/50</t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</si>
  <si>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0</t>
    </r>
  </si>
  <si>
    <t>80/15/5</t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</si>
  <si>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</si>
  <si>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0</t>
    </r>
    <r>
      <rPr>
        <sz val="11"/>
        <color theme="1"/>
        <rFont val="Calibri"/>
        <family val="2"/>
        <scheme val="minor"/>
      </rPr>
      <t>-Y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</si>
  <si>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t>Xa-bc</t>
  </si>
  <si>
    <t>Ya-bc</t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</si>
  <si>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2</t>
    </r>
  </si>
  <si>
    <r>
      <t>Y</t>
    </r>
    <r>
      <rPr>
        <vertAlign val="subscript"/>
        <sz val="11"/>
        <color theme="1"/>
        <rFont val="Calibri"/>
        <family val="2"/>
        <charset val="204"/>
        <scheme val="minor"/>
      </rPr>
      <t>0</t>
    </r>
    <r>
      <rPr>
        <sz val="11"/>
        <color theme="1"/>
        <rFont val="Calibri"/>
        <family val="2"/>
        <scheme val="minor"/>
      </rPr>
      <t>-Y</t>
    </r>
    <r>
      <rPr>
        <vertAlign val="subscript"/>
        <sz val="11"/>
        <color theme="1"/>
        <rFont val="Calibri"/>
        <family val="2"/>
        <charset val="204"/>
        <scheme val="minor"/>
      </rPr>
      <t>2</t>
    </r>
  </si>
  <si>
    <t>Xb-c</t>
  </si>
  <si>
    <t>Yb-c</t>
  </si>
  <si>
    <t>Перпендикуляры</t>
  </si>
  <si>
    <t>Количество по полю ФИО менеджера</t>
  </si>
  <si>
    <t>А</t>
  </si>
  <si>
    <t>С</t>
  </si>
  <si>
    <t>Названия столбцов</t>
  </si>
  <si>
    <t>Вариация</t>
  </si>
  <si>
    <t>Клиент</t>
  </si>
  <si>
    <t>Сумма</t>
  </si>
  <si>
    <t>Сумма по полю 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</si>
</sst>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10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name val="Carlito"/>
    </font>
    <font>
      <b/>
      <sz val="11"/>
      <color rgb="FFFFFFFF"/>
      <name val="Carlito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11"/>
      <color theme="6"/>
      <name val="Calibri"/>
      <family val="2"/>
      <scheme val="min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1F4E78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3" fillId="0" borderId="0"/>
    <xf numFmtId="9" fontId="5" fillId="0" borderId="0" applyFont="0" applyFill="0" applyBorder="0" applyAlignment="0" applyProtection="0"/>
  </cellStyleXfs>
  <cellXfs count="3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4" fillId="4" borderId="0" xfId="1" applyNumberFormat="1" applyFont="1" applyFill="1" applyBorder="1" applyAlignment="1">
      <alignment horizontal="center" vertical="center"/>
    </xf>
    <xf numFmtId="164" fontId="0" fillId="0" borderId="0" xfId="1" applyNumberFormat="1" applyFont="1" applyFill="1" applyBorder="1"/>
    <xf numFmtId="3" fontId="0" fillId="0" borderId="0" xfId="1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165" fontId="0" fillId="5" borderId="0" xfId="2" applyNumberFormat="1" applyFont="1" applyFill="1"/>
    <xf numFmtId="165" fontId="0" fillId="2" borderId="0" xfId="2" applyNumberFormat="1" applyFont="1" applyFill="1"/>
    <xf numFmtId="165" fontId="0" fillId="6" borderId="0" xfId="2" applyNumberFormat="1" applyFont="1" applyFill="1"/>
    <xf numFmtId="10" fontId="0" fillId="5" borderId="0" xfId="0" applyNumberFormat="1" applyFill="1"/>
    <xf numFmtId="10" fontId="0" fillId="2" borderId="0" xfId="0" applyNumberFormat="1" applyFill="1"/>
    <xf numFmtId="10" fontId="0" fillId="6" borderId="0" xfId="0" applyNumberFormat="1" applyFill="1"/>
    <xf numFmtId="9" fontId="0" fillId="0" borderId="0" xfId="0" applyNumberFormat="1"/>
    <xf numFmtId="165" fontId="0" fillId="0" borderId="0" xfId="0" applyNumberFormat="1"/>
    <xf numFmtId="165" fontId="0" fillId="0" borderId="0" xfId="2" applyNumberFormat="1" applyFont="1"/>
    <xf numFmtId="165" fontId="8" fillId="0" borderId="0" xfId="2" applyNumberFormat="1" applyFont="1"/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9" fontId="0" fillId="7" borderId="0" xfId="0" applyNumberFormat="1" applyFill="1"/>
    <xf numFmtId="0" fontId="0" fillId="7" borderId="0" xfId="0" applyFill="1"/>
    <xf numFmtId="0" fontId="0" fillId="8" borderId="0" xfId="0" applyFill="1" applyAlignment="1">
      <alignment horizontal="left"/>
    </xf>
    <xf numFmtId="0" fontId="0" fillId="8" borderId="0" xfId="0" applyNumberFormat="1" applyFill="1"/>
    <xf numFmtId="0" fontId="0" fillId="9" borderId="0" xfId="0" applyFill="1" applyAlignment="1">
      <alignment horizontal="left"/>
    </xf>
    <xf numFmtId="165" fontId="0" fillId="9" borderId="0" xfId="2" applyNumberFormat="1" applyFont="1" applyFill="1"/>
    <xf numFmtId="0" fontId="0" fillId="9" borderId="0" xfId="0" applyFill="1"/>
    <xf numFmtId="9" fontId="0" fillId="5" borderId="0" xfId="0" applyNumberFormat="1" applyFill="1"/>
    <xf numFmtId="0" fontId="0" fillId="5" borderId="0" xfId="0" applyFill="1"/>
  </cellXfs>
  <cellStyles count="3">
    <cellStyle name="Normal" xfId="1" xr:uid="{00000000-0005-0000-0000-000000000000}"/>
    <cellStyle name="Обычный" xfId="0" builtinId="0"/>
    <cellStyle name="Процентный" xfId="2" builtinId="5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rgb="FFFFC000"/>
        </patternFill>
      </fill>
    </dxf>
    <dxf>
      <numFmt numFmtId="14" formatCode="0.00%"/>
    </dxf>
    <dxf>
      <fill>
        <patternFill patternType="solid">
          <bgColor theme="6" tint="0.79998168889431442"/>
        </patternFill>
      </fill>
    </dxf>
    <dxf>
      <fill>
        <patternFill patternType="solid">
          <bgColor rgb="FFFFC000"/>
        </patternFill>
      </fill>
    </dxf>
    <dxf>
      <numFmt numFmtId="14" formatCode="0.00%"/>
    </dxf>
    <dxf>
      <fill>
        <patternFill patternType="solid">
          <bgColor theme="6" tint="0.79998168889431442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ABC_менеджеры_сумма!$E$22</c:f>
              <c:strCache>
                <c:ptCount val="1"/>
                <c:pt idx="0">
                  <c:v>Y0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ABC_менеджеры_сумма!$D$23:$D$42</c:f>
              <c:numCache>
                <c:formatCode>0.0%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xVal>
          <c:yVal>
            <c:numRef>
              <c:f>ABC_менеджеры_сумма!$E$23:$E$42</c:f>
              <c:numCache>
                <c:formatCode>0.00%</c:formatCode>
                <c:ptCount val="20"/>
                <c:pt idx="0">
                  <c:v>0.4869135736203874</c:v>
                </c:pt>
                <c:pt idx="1">
                  <c:v>0.67919953261133692</c:v>
                </c:pt>
                <c:pt idx="2">
                  <c:v>0.78511603840305344</c:v>
                </c:pt>
                <c:pt idx="3">
                  <c:v>0.84337528449254129</c:v>
                </c:pt>
                <c:pt idx="4">
                  <c:v>0.87932818484962472</c:v>
                </c:pt>
                <c:pt idx="5">
                  <c:v>0.90468106430942463</c:v>
                </c:pt>
                <c:pt idx="6">
                  <c:v>0.92303698144611435</c:v>
                </c:pt>
                <c:pt idx="7">
                  <c:v>0.93959613742880621</c:v>
                </c:pt>
                <c:pt idx="8">
                  <c:v>0.9504905571795248</c:v>
                </c:pt>
                <c:pt idx="9">
                  <c:v>0.96076269309786411</c:v>
                </c:pt>
                <c:pt idx="10">
                  <c:v>0.96953440794030776</c:v>
                </c:pt>
                <c:pt idx="11">
                  <c:v>0.97720021922250166</c:v>
                </c:pt>
                <c:pt idx="12">
                  <c:v>0.98272189932915643</c:v>
                </c:pt>
                <c:pt idx="13">
                  <c:v>0.98747128746727397</c:v>
                </c:pt>
                <c:pt idx="14">
                  <c:v>0.99091764068018762</c:v>
                </c:pt>
                <c:pt idx="15">
                  <c:v>0.99406087166131807</c:v>
                </c:pt>
                <c:pt idx="16">
                  <c:v>0.99643761008260445</c:v>
                </c:pt>
                <c:pt idx="17">
                  <c:v>0.99769837484068002</c:v>
                </c:pt>
                <c:pt idx="18">
                  <c:v>0.99891407892116824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6D-450F-932D-A6A43B0F99BD}"/>
            </c:ext>
          </c:extLst>
        </c:ser>
        <c:ser>
          <c:idx val="1"/>
          <c:order val="1"/>
          <c:tx>
            <c:strRef>
              <c:f>ABC_менеджеры_сумма!$H$1</c:f>
              <c:strCache>
                <c:ptCount val="1"/>
                <c:pt idx="0">
                  <c:v>Y1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1392864428215902"/>
                  <c:y val="-8.792889092130271E-2"/>
                </c:manualLayout>
              </c:layout>
              <c:numFmt formatCode="General" sourceLinked="0"/>
              <c:spPr>
                <a:solidFill>
                  <a:schemeClr val="accent6">
                    <a:lumMod val="60000"/>
                    <a:lumOff val="4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ABC_менеджеры_сумма!$G$2:$G$3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ABC_менеджеры_сумма!$H$2:$H$3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E6D-450F-932D-A6A43B0F99BD}"/>
            </c:ext>
          </c:extLst>
        </c:ser>
        <c:ser>
          <c:idx val="3"/>
          <c:order val="2"/>
          <c:tx>
            <c:strRef>
              <c:f>ABC_менеджеры_сумма!$G$6:$G$7</c:f>
              <c:strCache>
                <c:ptCount val="2"/>
                <c:pt idx="0">
                  <c:v>20,0%</c:v>
                </c:pt>
                <c:pt idx="1">
                  <c:v>100%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D632-4B4E-B207-6BFF294D7301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FF0000"/>
                </a:solidFill>
                <a:ln w="9525">
                  <a:solidFill>
                    <a:schemeClr val="accent3">
                      <a:lumMod val="60000"/>
                      <a:lumOff val="4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D632-4B4E-B207-6BFF294D7301}"/>
              </c:ext>
            </c:extLst>
          </c:dPt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backward val="0.2"/>
            <c:dispRSqr val="0"/>
            <c:dispEq val="1"/>
            <c:trendlineLbl>
              <c:layout>
                <c:manualLayout>
                  <c:x val="0.36755109950634407"/>
                  <c:y val="-2.0100730651911756E-3"/>
                </c:manualLayout>
              </c:layout>
              <c:numFmt formatCode="General" sourceLinked="0"/>
              <c:spPr>
                <a:solidFill>
                  <a:schemeClr val="accent3">
                    <a:lumMod val="40000"/>
                    <a:lumOff val="6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ABC_менеджеры_сумма!$G$6:$G$7</c:f>
              <c:numCache>
                <c:formatCode>0%</c:formatCode>
                <c:ptCount val="2"/>
                <c:pt idx="0" formatCode="0.0%">
                  <c:v>0.2</c:v>
                </c:pt>
                <c:pt idx="1">
                  <c:v>1</c:v>
                </c:pt>
              </c:numCache>
            </c:numRef>
          </c:xVal>
          <c:yVal>
            <c:numRef>
              <c:f>ABC_менеджеры_сумма!$H$6:$H$7</c:f>
              <c:numCache>
                <c:formatCode>0%</c:formatCode>
                <c:ptCount val="2"/>
                <c:pt idx="0" formatCode="0.00%">
                  <c:v>0.84337528449254129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32-4B4E-B207-6BFF294D7301}"/>
            </c:ext>
          </c:extLst>
        </c:ser>
        <c:ser>
          <c:idx val="5"/>
          <c:order val="3"/>
          <c:tx>
            <c:v> 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ABC_менеджеры_сумма!$J$2:$J$3</c:f>
              <c:numCache>
                <c:formatCode>0.00%</c:formatCode>
                <c:ptCount val="2"/>
                <c:pt idx="0" formatCode="0.0%">
                  <c:v>0.2</c:v>
                </c:pt>
                <c:pt idx="1">
                  <c:v>0.2</c:v>
                </c:pt>
              </c:numCache>
            </c:numRef>
          </c:xVal>
          <c:yVal>
            <c:numRef>
              <c:f>ABC_менеджеры_сумма!$K$2:$K$3</c:f>
              <c:numCache>
                <c:formatCode>0%</c:formatCode>
                <c:ptCount val="2"/>
                <c:pt idx="0" formatCode="0.00%">
                  <c:v>0.84337528449254129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632-4B4E-B207-6BFF294D7301}"/>
            </c:ext>
          </c:extLst>
        </c:ser>
        <c:ser>
          <c:idx val="6"/>
          <c:order val="4"/>
          <c:tx>
            <c:v> 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ABC_менеджеры_сумма!$J$6:$J$7</c:f>
              <c:numCache>
                <c:formatCode>0.0%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xVal>
          <c:yVal>
            <c:numRef>
              <c:f>ABC_менеджеры_сумма!$K$6:$K$7</c:f>
              <c:numCache>
                <c:formatCode>0%</c:formatCode>
                <c:ptCount val="2"/>
                <c:pt idx="0" formatCode="0.0%">
                  <c:v>0.96076269309786411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632-4B4E-B207-6BFF294D7301}"/>
            </c:ext>
          </c:extLst>
        </c:ser>
        <c:ser>
          <c:idx val="4"/>
          <c:order val="5"/>
          <c:tx>
            <c:strRef>
              <c:f>ABC_менеджеры_сумма!$J$5</c:f>
              <c:strCache>
                <c:ptCount val="1"/>
                <c:pt idx="0">
                  <c:v>Xb-c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ABC_менеджеры_сумма!$J$6</c:f>
              <c:numCache>
                <c:formatCode>0.0%</c:formatCode>
                <c:ptCount val="1"/>
                <c:pt idx="0">
                  <c:v>0.5</c:v>
                </c:pt>
              </c:numCache>
            </c:numRef>
          </c:xVal>
          <c:yVal>
            <c:numRef>
              <c:f>ABC_менеджеры_сумма!$K$6</c:f>
              <c:numCache>
                <c:formatCode>0.0%</c:formatCode>
                <c:ptCount val="1"/>
                <c:pt idx="0">
                  <c:v>0.96076269309786411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632-4B4E-B207-6BFF294D7301}"/>
            </c:ext>
          </c:extLst>
        </c:ser>
        <c:ser>
          <c:idx val="2"/>
          <c:order val="6"/>
          <c:tx>
            <c:strRef>
              <c:f>ABC_менеджеры_сумма!$J$1</c:f>
              <c:strCache>
                <c:ptCount val="1"/>
                <c:pt idx="0">
                  <c:v>Xa-bc</c:v>
                </c:pt>
              </c:strCache>
            </c:strRef>
          </c:tx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ABC_менеджеры_сумма!$J$2</c:f>
              <c:numCache>
                <c:formatCode>0.0%</c:formatCode>
                <c:ptCount val="1"/>
                <c:pt idx="0">
                  <c:v>0.2</c:v>
                </c:pt>
              </c:numCache>
            </c:numRef>
          </c:xVal>
          <c:yVal>
            <c:numRef>
              <c:f>ABC_менеджеры_сумма!$K$2</c:f>
              <c:numCache>
                <c:formatCode>0.00%</c:formatCode>
                <c:ptCount val="1"/>
                <c:pt idx="0">
                  <c:v>0.84337528449254129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32-4B4E-B207-6BFF294D73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3523472"/>
        <c:axId val="1613523952"/>
      </c:scatterChart>
      <c:valAx>
        <c:axId val="1613523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13523952"/>
        <c:crosses val="autoZero"/>
        <c:crossBetween val="midCat"/>
      </c:valAx>
      <c:valAx>
        <c:axId val="161352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13523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39765819428011"/>
          <c:y val="0.24353238277647726"/>
          <c:w val="0.17602341805719882"/>
          <c:h val="0.547301127899552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ABC_Менеджеры_сделки!$E$22</c:f>
              <c:strCache>
                <c:ptCount val="1"/>
                <c:pt idx="0">
                  <c:v>Y0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ABC_Менеджеры_сделки!$D$23:$D$42</c:f>
              <c:numCache>
                <c:formatCode>0.0%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xVal>
          <c:yVal>
            <c:numRef>
              <c:f>ABC_Менеджеры_сделки!$E$23:$E$42</c:f>
              <c:numCache>
                <c:formatCode>0.00%</c:formatCode>
                <c:ptCount val="20"/>
                <c:pt idx="0">
                  <c:v>0.35273116744019994</c:v>
                </c:pt>
                <c:pt idx="1">
                  <c:v>0.52195644412709752</c:v>
                </c:pt>
                <c:pt idx="2">
                  <c:v>0.62227775794359153</c:v>
                </c:pt>
                <c:pt idx="3">
                  <c:v>0.69368082827561584</c:v>
                </c:pt>
                <c:pt idx="4">
                  <c:v>0.74759014637629417</c:v>
                </c:pt>
                <c:pt idx="5">
                  <c:v>0.79114601927882899</c:v>
                </c:pt>
                <c:pt idx="6">
                  <c:v>0.82684755444484115</c:v>
                </c:pt>
                <c:pt idx="7">
                  <c:v>0.85969296679757234</c:v>
                </c:pt>
                <c:pt idx="8">
                  <c:v>0.88504105676544087</c:v>
                </c:pt>
                <c:pt idx="9">
                  <c:v>0.90717600856836844</c:v>
                </c:pt>
                <c:pt idx="10">
                  <c:v>0.92752588361299537</c:v>
                </c:pt>
                <c:pt idx="11">
                  <c:v>0.94537665119600145</c:v>
                </c:pt>
                <c:pt idx="12">
                  <c:v>0.95965726526240624</c:v>
                </c:pt>
                <c:pt idx="13">
                  <c:v>0.97072474116387009</c:v>
                </c:pt>
                <c:pt idx="14">
                  <c:v>0.97893609425205286</c:v>
                </c:pt>
                <c:pt idx="15">
                  <c:v>0.98571938593359509</c:v>
                </c:pt>
                <c:pt idx="16">
                  <c:v>0.99143163156015712</c:v>
                </c:pt>
                <c:pt idx="17">
                  <c:v>0.99428775437343808</c:v>
                </c:pt>
                <c:pt idx="18">
                  <c:v>0.99714387718671904</c:v>
                </c:pt>
                <c:pt idx="1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01-4FD2-BE55-671500E4EACE}"/>
            </c:ext>
          </c:extLst>
        </c:ser>
        <c:ser>
          <c:idx val="1"/>
          <c:order val="1"/>
          <c:tx>
            <c:strRef>
              <c:f>ABC_Менеджеры_сделки!$H$1</c:f>
              <c:strCache>
                <c:ptCount val="1"/>
                <c:pt idx="0">
                  <c:v>Y1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3054675354079152"/>
                  <c:y val="-9.9063661346129206E-2"/>
                </c:manualLayout>
              </c:layout>
              <c:numFmt formatCode="General" sourceLinked="0"/>
              <c:spPr>
                <a:solidFill>
                  <a:schemeClr val="accent6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ABC_Менеджеры_сделки!$G$2:$G$3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ABC_Менеджеры_сделки!$H$2:$H$3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01-4FD2-BE55-671500E4EACE}"/>
            </c:ext>
          </c:extLst>
        </c:ser>
        <c:ser>
          <c:idx val="3"/>
          <c:order val="2"/>
          <c:tx>
            <c:strRef>
              <c:f>ABC_Менеджеры_сделки!$H$5</c:f>
              <c:strCache>
                <c:ptCount val="1"/>
                <c:pt idx="0">
                  <c:v>Y2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D001-4FD2-BE55-671500E4EACE}"/>
              </c:ext>
            </c:extLst>
          </c:dPt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backward val="0.2"/>
            <c:dispRSqr val="0"/>
            <c:dispEq val="1"/>
            <c:trendlineLbl>
              <c:layout>
                <c:manualLayout>
                  <c:x val="0.38042534778999282"/>
                  <c:y val="-1.6963768218380242E-2"/>
                </c:manualLayout>
              </c:layout>
              <c:numFmt formatCode="General" sourceLinked="0"/>
              <c:spPr>
                <a:solidFill>
                  <a:schemeClr val="accent3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ABC_Менеджеры_сделки!$G$6:$G$7</c:f>
              <c:numCache>
                <c:formatCode>0%</c:formatCode>
                <c:ptCount val="2"/>
                <c:pt idx="0" formatCode="0.0%">
                  <c:v>0.25</c:v>
                </c:pt>
                <c:pt idx="1">
                  <c:v>1</c:v>
                </c:pt>
              </c:numCache>
            </c:numRef>
          </c:xVal>
          <c:yVal>
            <c:numRef>
              <c:f>ABC_Менеджеры_сделки!$H$6:$H$7</c:f>
              <c:numCache>
                <c:formatCode>0%</c:formatCode>
                <c:ptCount val="2"/>
                <c:pt idx="0" formatCode="0.0%">
                  <c:v>0.74759014637629417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001-4FD2-BE55-671500E4EACE}"/>
            </c:ext>
          </c:extLst>
        </c:ser>
        <c:ser>
          <c:idx val="4"/>
          <c:order val="3"/>
          <c:tx>
            <c:strRef>
              <c:f>ABC_Менеджеры_сделки!$J$5</c:f>
              <c:strCache>
                <c:ptCount val="1"/>
                <c:pt idx="0">
                  <c:v>Xb-c</c:v>
                </c:pt>
              </c:strCache>
            </c:strRef>
          </c:tx>
          <c:spPr>
            <a:ln w="19050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95000"/>
                  <a:lumOff val="5000"/>
                </a:schemeClr>
              </a:solidFill>
              <a:ln w="9525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</c:marker>
          <c:xVal>
            <c:numRef>
              <c:f>ABC_Менеджеры_сделки!$J$6</c:f>
              <c:numCache>
                <c:formatCode>0.0%</c:formatCode>
                <c:ptCount val="1"/>
                <c:pt idx="0">
                  <c:v>0.6</c:v>
                </c:pt>
              </c:numCache>
            </c:numRef>
          </c:xVal>
          <c:yVal>
            <c:numRef>
              <c:f>ABC_Менеджеры_сделки!$K$6</c:f>
              <c:numCache>
                <c:formatCode>0.0%</c:formatCode>
                <c:ptCount val="1"/>
                <c:pt idx="0">
                  <c:v>0.94537665119600145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001-4FD2-BE55-671500E4EACE}"/>
            </c:ext>
          </c:extLst>
        </c:ser>
        <c:ser>
          <c:idx val="2"/>
          <c:order val="4"/>
          <c:tx>
            <c:strRef>
              <c:f>ABC_Менеджеры_сделки!$J$1</c:f>
              <c:strCache>
                <c:ptCount val="1"/>
                <c:pt idx="0">
                  <c:v>Xa-bc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ABC_Менеджеры_сделки!$J$2</c:f>
              <c:numCache>
                <c:formatCode>0.0%</c:formatCode>
                <c:ptCount val="1"/>
                <c:pt idx="0">
                  <c:v>0.25</c:v>
                </c:pt>
              </c:numCache>
            </c:numRef>
          </c:xVal>
          <c:yVal>
            <c:numRef>
              <c:f>ABC_Менеджеры_сделки!$K$2</c:f>
              <c:numCache>
                <c:formatCode>0.0%</c:formatCode>
                <c:ptCount val="1"/>
                <c:pt idx="0">
                  <c:v>0.74759014637629417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01-4FD2-BE55-671500E4EACE}"/>
            </c:ext>
          </c:extLst>
        </c:ser>
        <c:ser>
          <c:idx val="5"/>
          <c:order val="5"/>
          <c:tx>
            <c:v> 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ABC_Менеджеры_сделки!$J$2:$J$3</c:f>
              <c:numCache>
                <c:formatCode>0.0%</c:formatCode>
                <c:ptCount val="2"/>
                <c:pt idx="0">
                  <c:v>0.25</c:v>
                </c:pt>
                <c:pt idx="1">
                  <c:v>0.25</c:v>
                </c:pt>
              </c:numCache>
            </c:numRef>
          </c:xVal>
          <c:yVal>
            <c:numRef>
              <c:f>ABC_Менеджеры_сделки!$K$2:$K$3</c:f>
              <c:numCache>
                <c:formatCode>0%</c:formatCode>
                <c:ptCount val="2"/>
                <c:pt idx="0" formatCode="0.0%">
                  <c:v>0.74759014637629417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001-4FD2-BE55-671500E4EACE}"/>
            </c:ext>
          </c:extLst>
        </c:ser>
        <c:ser>
          <c:idx val="6"/>
          <c:order val="6"/>
          <c:tx>
            <c:v> 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ABC_Менеджеры_сделки!$J$6:$J$7</c:f>
              <c:numCache>
                <c:formatCode>0.0%</c:formatCode>
                <c:ptCount val="2"/>
                <c:pt idx="0">
                  <c:v>0.6</c:v>
                </c:pt>
                <c:pt idx="1">
                  <c:v>0.6</c:v>
                </c:pt>
              </c:numCache>
            </c:numRef>
          </c:xVal>
          <c:yVal>
            <c:numRef>
              <c:f>ABC_Менеджеры_сделки!$K$6:$K$7</c:f>
              <c:numCache>
                <c:formatCode>0%</c:formatCode>
                <c:ptCount val="2"/>
                <c:pt idx="0" formatCode="0.0%">
                  <c:v>0.94537665119600145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001-4FD2-BE55-671500E4E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4316687"/>
        <c:axId val="1104320527"/>
      </c:scatterChart>
      <c:valAx>
        <c:axId val="1104316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04320527"/>
        <c:crosses val="autoZero"/>
        <c:crossBetween val="midCat"/>
      </c:valAx>
      <c:valAx>
        <c:axId val="110432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04316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911811023622052"/>
          <c:y val="0.21244320671765221"/>
          <c:w val="0.16088188976377954"/>
          <c:h val="0.549280517150546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31750</xdr:rowOff>
    </xdr:from>
    <xdr:to>
      <xdr:col>5</xdr:col>
      <xdr:colOff>0</xdr:colOff>
      <xdr:row>19</xdr:row>
      <xdr:rowOff>6350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C2321C8-1420-3E89-480B-EF42183FC1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0</xdr:row>
      <xdr:rowOff>19050</xdr:rowOff>
    </xdr:from>
    <xdr:to>
      <xdr:col>2</xdr:col>
      <xdr:colOff>609599</xdr:colOff>
      <xdr:row>18</xdr:row>
      <xdr:rowOff>165100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9FB37F0-ADAB-4ADE-00D7-E93F9A4B8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8</xdr:col>
      <xdr:colOff>601980</xdr:colOff>
      <xdr:row>5</xdr:row>
      <xdr:rowOff>78922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0" y="30480"/>
          <a:ext cx="8244840" cy="96284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68580</xdr:colOff>
      <xdr:row>5</xdr:row>
      <xdr:rowOff>160020</xdr:rowOff>
    </xdr:from>
    <xdr:to>
      <xdr:col>16</xdr:col>
      <xdr:colOff>441960</xdr:colOff>
      <xdr:row>11</xdr:row>
      <xdr:rowOff>68580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711440" y="1074420"/>
          <a:ext cx="525018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Провести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(напротив каждого менеджера поставить два маркера)</a:t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по сумме продаж</a:t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по количестсу сделок</a:t>
          </a:r>
          <a:br>
            <a:rPr lang="ru-RU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сделать методом касательных (стром график или вычисляем аналитически на ваше усмотрение)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br>
            <a:rPr lang="ru-RU"/>
          </a:br>
          <a:endParaRPr lang="ru-RU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1632</xdr:colOff>
      <xdr:row>13</xdr:row>
      <xdr:rowOff>10886</xdr:rowOff>
    </xdr:from>
    <xdr:to>
      <xdr:col>23</xdr:col>
      <xdr:colOff>205558</xdr:colOff>
      <xdr:row>17</xdr:row>
      <xdr:rowOff>112123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1990432" y="2404836"/>
          <a:ext cx="3861526" cy="837837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Данная таблица является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промежуточной, в ней будут проверяться только первые 10 строк, но для расчета вам понадобятся все клиенты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br>
            <a:rPr lang="ru-RU"/>
          </a:br>
          <a:endParaRPr lang="ru-RU" sz="1100"/>
        </a:p>
      </xdr:txBody>
    </xdr:sp>
    <xdr:clientData/>
  </xdr:twoCellAnchor>
  <xdr:twoCellAnchor>
    <xdr:from>
      <xdr:col>12</xdr:col>
      <xdr:colOff>222250</xdr:colOff>
      <xdr:row>1</xdr:row>
      <xdr:rowOff>12700</xdr:rowOff>
    </xdr:from>
    <xdr:to>
      <xdr:col>16</xdr:col>
      <xdr:colOff>233973</xdr:colOff>
      <xdr:row>12</xdr:row>
      <xdr:rowOff>12700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9664700" y="196850"/>
          <a:ext cx="2450123" cy="201930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строим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методу 80/15/5</a:t>
          </a:r>
        </a:p>
        <a:p>
          <a:b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&lt; 80%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&lt;= B &lt;=95%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95%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XYZ</a:t>
          </a:r>
          <a:br>
            <a:rPr lang="en-US"/>
          </a:b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&lt; 10%</a:t>
          </a:r>
          <a:endParaRPr lang="ru-RU">
            <a:effectLst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&lt;= Y &lt;=25%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25%</a:t>
          </a:r>
          <a:endParaRPr lang="ru-RU">
            <a:effectLst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Яна" refreshedDate="46300.462037268517" createdVersion="8" refreshedVersion="8" minRefreshableVersion="3" recordCount="2801" xr:uid="{7E4333D6-9FD7-47AF-8713-5E2F96691BF2}">
  <cacheSource type="worksheet">
    <worksheetSource ref="A1:D2802" sheet="Данные"/>
  </cacheSource>
  <cacheFields count="7">
    <cacheField name="ФИО менеджера" numFmtId="0">
      <sharedItems count="20">
        <s v="Кузнецов Максим Алексеевич"/>
        <s v="Новикова Ольга Викторовна"/>
        <s v="Ткаченко Андрей Олегович"/>
        <s v="Фролов Сергей Викторович"/>
        <s v="Яковлев Артем Игоревич"/>
        <s v="Иванова Анна Сергеевна"/>
        <s v="Морозова Елена Андреевна"/>
        <s v="Семенова Ирина Валерьевна"/>
        <s v="Васильева Дарья Павловна"/>
        <s v="Козлов Алексей Михайлович"/>
        <s v="Орлов Павел Денисович"/>
        <s v="Павлова Татьяна Сергеевна"/>
        <s v="Волков Дмитрий Романович"/>
        <s v="Смирнов Евгений Андреевич"/>
        <s v="Соколова Мария Ильинична"/>
        <s v="Лебедев Николай Олегович"/>
        <s v="Попов Кирилл Денисович"/>
        <s v="Федорова Ксения Максимовна"/>
        <s v="Егоров Илья Александрович"/>
        <s v="Михайлова Алина Романовна"/>
      </sharedItems>
    </cacheField>
    <cacheField name="ФИО клиента" numFmtId="0">
      <sharedItems count="237">
        <s v="Сидорова Полина Михайловна"/>
        <s v="Степанов Михаил Олегович"/>
        <s v="Борисов Борис Александрович"/>
        <s v="Смирнова Мария Викторовна"/>
        <s v="Андреев Федор Ильич"/>
        <s v="Куликов Вадим Кириллович"/>
        <s v="Федорова Александра Олеговна"/>
        <s v="Баранова Ольга Евгеньевна"/>
        <s v="Васильев Олег Федорович"/>
        <s v="Семенова Екатерина Алексеевна"/>
        <s v="Соколова Елена Владимировна"/>
        <s v="Степанов Юрий Николаевич"/>
        <s v="Яковлев Андрей Артемович"/>
        <s v="Зайцев Дмитрий Алексеевич"/>
        <s v="Павлова Юлия Ильинична"/>
        <s v="Федоров Илья Михайлович"/>
        <s v="Козлова Надежда Игоревна"/>
        <s v="Сидоров Кирилл Андреевич"/>
        <s v="Воробьев Антон Николаевич"/>
        <s v="Кузнецов Борис Максимович"/>
        <s v="Степанов Борис Александрович"/>
        <s v="Павлова Светлана Павловна"/>
        <s v="Ковалев Дмитрий Павлович"/>
        <s v="Васильев Илья Антонович"/>
        <s v="Куликов Артем Максимович"/>
        <s v="Васильев Павел Дмитриевич"/>
        <s v="Воробьева Наталья Александровна"/>
        <s v="Павлов Игорь Дмитриевич"/>
        <s v="Баранов Виктор Антонович"/>
        <s v="Макарова Надежда Денисовна"/>
        <s v="Петрова Мария Юрьевна"/>
        <s v="Ковалев Владимир Федорович"/>
        <s v="Морозов Антон Антонович"/>
        <s v="Васильев Артем Евгеньевич"/>
        <s v="Григорьев Никита Антонович"/>
        <s v="Зайцева Ирина Евгеньевна"/>
        <s v="Новикова Мария Андреевна"/>
        <s v="Смирнов Михаил Николаевич"/>
        <s v="Орлова Елена Алексеевна"/>
        <s v="Андреев Владимир Денисович"/>
        <s v="Кузнецов Владимир Евгеньевич"/>
        <s v="Воробьев Сергей Максимович"/>
        <s v="Орлов Сергей Дмитриевич"/>
        <s v="Зайцев Степан Олегович"/>
        <s v="Соколов Андрей Алексеевич"/>
        <s v="Зайцев Алексей Павлович"/>
        <s v="Романова Валерия Павловна"/>
        <s v="Кузнецов Павел Андреевич"/>
        <s v="Воробьев Кирилл Алексеевич"/>
        <s v="Михайлова Мария Максимовна"/>
        <s v="Орлов Артем Иванович"/>
        <s v="Сидоров Максим Иванович"/>
        <s v="Григорьев Вадим Кириллович"/>
        <s v="Лебедева Марина Андреевна"/>
        <s v="Морозова Софья Павловна"/>
        <s v="Степанова Ксения Ильинична"/>
        <s v="Борисов Игорь Евгеньевич"/>
        <s v="Баранов Евгений Борисович"/>
        <s v="Лебедева Ирина Николаевна"/>
        <s v="Романова Валерия Сергеевна"/>
        <s v="Новикова Екатерина Федоровна"/>
        <s v="Николаева Татьяна Евгеньевна"/>
        <s v="Иванов Павел Денисович"/>
        <s v="Романова Полина Денисовна"/>
        <s v="Ковалева Наталья Ильинична"/>
        <s v="Романов Кирилл Дмитриевич"/>
        <s v="Яковлева Валерия Николаевна"/>
        <s v="Иванова Анастасия Романовна"/>
        <s v="Алексеев Илья Дмитриевич"/>
        <s v="Воробьев Алексей Николаевич"/>
        <s v="Лебедева Светлана Антоновна"/>
        <s v="Сидорова Марина Владимировна"/>
        <s v="Макаров Виктор Владимирович"/>
        <s v="Сидорова Екатерина Денисовна"/>
        <s v="Тарасова Ирина Ивановна"/>
        <s v="Андреева Ольга Олеговна"/>
        <s v="Волкова Юлия Викторовна"/>
        <s v="Николаева Софья Игоревна"/>
        <s v="Зайцев Андрей Сергеевич"/>
        <s v="Егорова Надежда Максимовна"/>
        <s v="Макарова Александра Олеговна"/>
        <s v="Козлов Александр Викторович"/>
        <s v="Волкова Алина Александровна"/>
        <s v="Кузнецов Владимир Денисович"/>
        <s v="Петров Николай Олегович"/>
        <s v="Морозов Евгений Федорович"/>
        <s v="Григорьева Анна Денисовна"/>
        <s v="Тарасова Мария Ивановна"/>
        <s v="Белов Вадим Викторович"/>
        <s v="Смирнов Игорь Евгеньевич"/>
        <s v="Зайцев Кирилл Сергеевич"/>
        <s v="Борисова Татьяна Максимовна"/>
        <s v="Куликова Анастасия Викторовна"/>
        <s v="Козлов Артем Кириллович"/>
        <s v="Егоров Сергей Максимович"/>
        <s v="Баранов Антон Александрович"/>
        <s v="Комаров Борис Борисович"/>
        <s v="Волкова Юлия Федоровна"/>
        <s v="Козлова Александра Николаевна"/>
        <s v="Яковлева Татьяна Юрьевна"/>
        <s v="Андреев Андрей Игоревич"/>
        <s v="Ковалев Александр Романович"/>
        <s v="Макаров Виктор Александрович"/>
        <s v="Орлова Екатерина Федоровна"/>
        <s v="Михайлова Анастасия Денисовна"/>
        <s v="Соколов Степан Сергеевич"/>
        <s v="Куликова Людмила Викторовна"/>
        <s v="Егоров Андрей Иванович"/>
        <s v="Павлова Татьяна Викторовна"/>
        <s v="Попова Ирина Александровна"/>
        <s v="Никитина Александра Дмитриевна"/>
        <s v="Смирнов Вадим Романович"/>
        <s v="Сергеева Софья Юрьевна"/>
        <s v="Степанов Максим Евгеньевич"/>
        <s v="Сергеев Вадим Иванович"/>
        <s v="Иванов Борис Сергеевич"/>
        <s v="Комарова Людмила Сергеевна"/>
        <s v="Иванова Валерия Юрьевна"/>
        <s v="Кузнецов Никита Антонович"/>
        <s v="Смирнова Ксения Владимировна"/>
        <s v="Соколова Юлия Романовна"/>
        <s v="Федоров Михаил Михайлович"/>
        <s v="Воробьева Александра Ивановна"/>
        <s v="Борисова Анастасия Александровна"/>
        <s v="Иванов Денис Евгеньевич"/>
        <s v="Лебедев Сергей Романович"/>
        <s v="Михайлова Полина Сергеевна"/>
        <s v="Волкова Анна Андреевна"/>
        <s v="Николаев Иван Борисович"/>
        <s v="Комарова Анастасия Алексеевна"/>
        <s v="Тарасова Дарья Алексеевна"/>
        <s v="Попов Алексей Александрович"/>
        <s v="Попов Степан Викторович"/>
        <s v="Новиков Михаил Алексеевич"/>
        <s v="Семенов Борис Павлович"/>
        <s v="Сидорова Надежда Михайловна"/>
        <s v="Федоров Артем Викторович"/>
        <s v="Смирнов Иван Евгеньевич"/>
        <s v="Зайцева Ольга Викторовна"/>
        <s v="Федорова Ирина Федоровна"/>
        <s v="Орлова Ксения Михайловна"/>
        <s v="Павлова Анастасия Романовна"/>
        <s v="Алексеева Полина Евгеньевна"/>
        <s v="Семенова Анастасия Сергеевна"/>
        <s v="Иванова Дарья Антоновна"/>
        <s v="Соколова Людмила Михайловна"/>
        <s v="Зайцева Елена Юрьевна"/>
        <s v="Захарова Софья Максимовна"/>
        <s v="Семенова Мария Максимовна"/>
        <s v="Борисова Ксения Николаевна"/>
        <s v="Белов Степан Артемович"/>
        <s v="Куликова Валерия Антоновна"/>
        <s v="Степанов Кирилл Ильич"/>
        <s v="Воробьева Анастасия Федоровна"/>
        <s v="Егорова Елена Сергеевна"/>
        <s v="Иванов Сергей Кириллович"/>
        <s v="Михайлова Полина Федоровна"/>
        <s v="Морозов Максим Николаевич"/>
        <s v="Захарова Людмила Максимовна"/>
        <s v="Сидорова Софья Федоровна"/>
        <s v="Тарасов Никита Артемович"/>
        <s v="Петров Сергей Дмитриевич"/>
        <s v="Комаров Алексей Антонович"/>
        <s v="Комарова Дарья Максимовна"/>
        <s v="Сидоров Михаил Романович"/>
        <s v="Волкова Алина Евгеньевна"/>
        <s v="Федорова Ирина Дмитриевна"/>
        <s v="Васильев Александр Игоревич"/>
        <s v="Семенов Никита Романович"/>
        <s v="Козлова Александра Ильинична"/>
        <s v="Захарова Анастасия Павловна"/>
        <s v="Алексеев Андрей Александрович"/>
        <s v="Соколова Ирина Викторовна"/>
        <s v="Лебедев Павел Артемович"/>
        <s v="Белов Степан Дмитриевич"/>
        <s v="Павлов Михаил Павлович"/>
        <s v="Иванова Людмила Игоревна"/>
        <s v="Никитина Софья Ильинична"/>
        <s v="Романов Кирилл Романович"/>
        <s v="Соловьева Ксения Олеговна"/>
        <s v="Егоров Иван Максимович"/>
        <s v="Новиков Павел Романович"/>
        <s v="Ковалева Александра Михайловна"/>
        <s v="Тарасова Полина Викторовна"/>
        <s v="Павлов Николай Андреевич"/>
        <s v="Новиков Дмитрий Дмитриевич"/>
        <s v="Попов Артем Антонович"/>
        <s v="Морозова Екатерина Ивановна"/>
        <s v="Павлова Екатерина Романовна"/>
        <s v="Николаев Кирилл Викторович"/>
        <s v="Тарасов Антон Борисович"/>
        <s v="Куликова Дарья Викторовна"/>
        <s v="Комарова Александра Владимировна"/>
        <s v="Тарасова Надежда Николаевна"/>
        <s v="Петров Борис Николаевич"/>
        <s v="Степанов Владимир Алексеевич"/>
        <s v="Соколова Людмила Игоревна"/>
        <s v="Попова Софья Николаевна"/>
        <s v="Зайцев Павел Михайлович"/>
        <s v="Михайлова Мария Михайловна"/>
        <s v="Сергеев Борис Александрович"/>
        <s v="Сидоров Федор Кириллович"/>
        <s v="Воробьева Анна Дмитриевна"/>
        <s v="Михайлова Александра Николаевна"/>
        <s v="Алексеева Ксения Алексеевна"/>
        <s v="Николаев Артем Викторович"/>
        <s v="Павлов Вадим Борисович"/>
        <s v="Григорьева Надежда Сергеевна"/>
        <s v="Смирнова Надежда Алексеевна"/>
        <s v="Васильева Алина Ивановна"/>
        <s v="Комаров Степан Федорович"/>
        <s v="Волкова Надежда Андреевна"/>
        <s v="Борисов Вадим Артемович"/>
        <s v="Сергеева Ксения Алексеевна"/>
        <s v="Белов Евгений Дмитриевич"/>
        <s v="Комарова Юлия Дмитриевна"/>
        <s v="Семенов Олег Олегович"/>
        <s v="Андреева Полина Ильинична"/>
        <s v="Куликов Дмитрий Павлович"/>
        <s v="Ковалев Никита Андреевич"/>
        <s v="Семенова Алина Александровна"/>
        <s v="Волкова Елена Ивановна"/>
        <s v="Семенов Евгений Кириллович"/>
        <s v="Козлов Андрей Кириллович"/>
        <s v="Попов Денис Михайлович"/>
        <s v="Андреева Светлана Ильинична"/>
        <s v="Романова Виктория Дмитриевна"/>
        <s v="Иванов Михаил Дмитриевич"/>
        <s v="Иванов Юрий Дмитриевич"/>
        <s v="Комарова Светлана Викторовна"/>
        <s v="Новикова Елена Александровна"/>
        <s v="Макаров Андрей Игоревич"/>
        <s v="Козлова Виктория Александровна"/>
        <s v="Баранов Роман Артемович"/>
        <s v="Куликов Сергей Романович"/>
        <s v="Николаева Полина Владимировна"/>
        <s v="Сидорова Алина Юрьевна"/>
      </sharedItems>
    </cacheField>
    <cacheField name="Дата сделки" numFmtId="164">
      <sharedItems containsSemiMixedTypes="0" containsNonDate="0" containsDate="1" containsString="0" minDate="2026-01-01T00:00:00" maxDate="2026-09-01T00:00:00" count="243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</sharedItems>
      <fieldGroup par="6"/>
    </cacheField>
    <cacheField name="Сумма сделки" numFmtId="3">
      <sharedItems containsSemiMixedTypes="0" containsString="0" containsNumber="1" containsInteger="1" minValue="5200" maxValue="72067" count="2659">
        <n v="5200"/>
        <n v="9754"/>
        <n v="24121"/>
        <n v="33813"/>
        <n v="38499"/>
        <n v="25319"/>
        <n v="37158"/>
        <n v="30144"/>
        <n v="63366"/>
        <n v="42753"/>
        <n v="45643"/>
        <n v="33452"/>
        <n v="32817"/>
        <n v="34426"/>
        <n v="21042"/>
        <n v="23003"/>
        <n v="26542"/>
        <n v="39698"/>
        <n v="40955"/>
        <n v="35767"/>
        <n v="33573"/>
        <n v="25934"/>
        <n v="47858"/>
        <n v="7073"/>
        <n v="14185"/>
        <n v="14227"/>
        <n v="15140"/>
        <n v="21615"/>
        <n v="11931"/>
        <n v="14491"/>
        <n v="30715"/>
        <n v="39326"/>
        <n v="35922"/>
        <n v="53011"/>
        <n v="45978"/>
        <n v="34542"/>
        <n v="34084"/>
        <n v="44909"/>
        <n v="10405"/>
        <n v="52502"/>
        <n v="15523"/>
        <n v="7834"/>
        <n v="10962"/>
        <n v="19829"/>
        <n v="15966"/>
        <n v="36587"/>
        <n v="24511"/>
        <n v="9706"/>
        <n v="37096"/>
        <n v="35957"/>
        <n v="29761"/>
        <n v="40558"/>
        <n v="47554"/>
        <n v="54075"/>
        <n v="36993"/>
        <n v="30370"/>
        <n v="31532"/>
        <n v="18976"/>
        <n v="10664"/>
        <n v="57695"/>
        <n v="30604"/>
        <n v="43640"/>
        <n v="43840"/>
        <n v="31874"/>
        <n v="5401"/>
        <n v="33182"/>
        <n v="46366"/>
        <n v="39702"/>
        <n v="49411"/>
        <n v="40676"/>
        <n v="46596"/>
        <n v="37173"/>
        <n v="33038"/>
        <n v="12456"/>
        <n v="15514"/>
        <n v="23686"/>
        <n v="25785"/>
        <n v="36933"/>
        <n v="39493"/>
        <n v="33739"/>
        <n v="28157"/>
        <n v="20825"/>
        <n v="23012"/>
        <n v="39843"/>
        <n v="42679"/>
        <n v="43619"/>
        <n v="34726"/>
        <n v="11271"/>
        <n v="16121"/>
        <n v="12413"/>
        <n v="42892"/>
        <n v="41365"/>
        <n v="31562"/>
        <n v="40958"/>
        <n v="43007"/>
        <n v="30808"/>
        <n v="10009"/>
        <n v="39700"/>
        <n v="31076"/>
        <n v="12256"/>
        <n v="24977"/>
        <n v="15061"/>
        <n v="21163"/>
        <n v="15505"/>
        <n v="51154"/>
        <n v="37280"/>
        <n v="44804"/>
        <n v="40237"/>
        <n v="33108"/>
        <n v="42579"/>
        <n v="11559"/>
        <n v="18803"/>
        <n v="12116"/>
        <n v="15765"/>
        <n v="14640"/>
        <n v="11833"/>
        <n v="24895"/>
        <n v="26075"/>
        <n v="12822"/>
        <n v="35580"/>
        <n v="33398"/>
        <n v="34451"/>
        <n v="35662"/>
        <n v="42733"/>
        <n v="34291"/>
        <n v="38754"/>
        <n v="40440"/>
        <n v="19013"/>
        <n v="14379"/>
        <n v="19654"/>
        <n v="25856"/>
        <n v="25664"/>
        <n v="31260"/>
        <n v="37102"/>
        <n v="46982"/>
        <n v="27131"/>
        <n v="40745"/>
        <n v="31088"/>
        <n v="54956"/>
        <n v="43872"/>
        <n v="45101"/>
        <n v="14607"/>
        <n v="22777"/>
        <n v="6210"/>
        <n v="16975"/>
        <n v="19806"/>
        <n v="13763"/>
        <n v="28391"/>
        <n v="40017"/>
        <n v="35562"/>
        <n v="40011"/>
        <n v="57337"/>
        <n v="37557"/>
        <n v="45968"/>
        <n v="63389"/>
        <n v="48958"/>
        <n v="39217"/>
        <n v="34044"/>
        <n v="13020"/>
        <n v="33715"/>
        <n v="18498"/>
        <n v="16107"/>
        <n v="26260"/>
        <n v="42817"/>
        <n v="39360"/>
        <n v="38722"/>
        <n v="49823"/>
        <n v="8948"/>
        <n v="35511"/>
        <n v="32873"/>
        <n v="12807"/>
        <n v="14557"/>
        <n v="30326"/>
        <n v="50865"/>
        <n v="42181"/>
        <n v="36094"/>
        <n v="30432"/>
        <n v="48291"/>
        <n v="19964"/>
        <n v="13946"/>
        <n v="14315"/>
        <n v="16680"/>
        <n v="31195"/>
        <n v="42612"/>
        <n v="27281"/>
        <n v="33608"/>
        <n v="31639"/>
        <n v="22562"/>
        <n v="23622"/>
        <n v="43089"/>
        <n v="44616"/>
        <n v="28729"/>
        <n v="37690"/>
        <n v="25699"/>
        <n v="27802"/>
        <n v="38043"/>
        <n v="37496"/>
        <n v="47009"/>
        <n v="26050"/>
        <n v="12870"/>
        <n v="28135"/>
        <n v="14789"/>
        <n v="10820"/>
        <n v="15314"/>
        <n v="15777"/>
        <n v="17677"/>
        <n v="13667"/>
        <n v="25826"/>
        <n v="8774"/>
        <n v="52511"/>
        <n v="30916"/>
        <n v="39570"/>
        <n v="39800"/>
        <n v="47813"/>
        <n v="47581"/>
        <n v="37941"/>
        <n v="30228"/>
        <n v="16072"/>
        <n v="8444"/>
        <n v="20153"/>
        <n v="5492"/>
        <n v="35797"/>
        <n v="29827"/>
        <n v="45550"/>
        <n v="56264"/>
        <n v="35527"/>
        <n v="36537"/>
        <n v="49071"/>
        <n v="43037"/>
        <n v="50896"/>
        <n v="30980"/>
        <n v="16234"/>
        <n v="19017"/>
        <n v="48991"/>
        <n v="29506"/>
        <n v="33677"/>
        <n v="37696"/>
        <n v="39603"/>
        <n v="40594"/>
        <n v="22272"/>
        <n v="26628"/>
        <n v="23421"/>
        <n v="40101"/>
        <n v="5337"/>
        <n v="42727"/>
        <n v="37828"/>
        <n v="42359"/>
        <n v="34005"/>
        <n v="12902"/>
        <n v="8276"/>
        <n v="6761"/>
        <n v="22750"/>
        <n v="12856"/>
        <n v="22660"/>
        <n v="14124"/>
        <n v="18854"/>
        <n v="33423"/>
        <n v="47040"/>
        <n v="38577"/>
        <n v="35888"/>
        <n v="19880"/>
        <n v="12626"/>
        <n v="15009"/>
        <n v="14900"/>
        <n v="26210"/>
        <n v="30471"/>
        <n v="37652"/>
        <n v="42209"/>
        <n v="34120"/>
        <n v="25774"/>
        <n v="39439"/>
        <n v="14799"/>
        <n v="19084"/>
        <n v="12047"/>
        <n v="34021"/>
        <n v="36742"/>
        <n v="43130"/>
        <n v="37094"/>
        <n v="46908"/>
        <n v="13011"/>
        <n v="30179"/>
        <n v="12854"/>
        <n v="33736"/>
        <n v="26889"/>
        <n v="48974"/>
        <n v="48829"/>
        <n v="53054"/>
        <n v="10402"/>
        <n v="13882"/>
        <n v="11808"/>
        <n v="14953"/>
        <n v="12636"/>
        <n v="6882"/>
        <n v="29848"/>
        <n v="35942"/>
        <n v="36788"/>
        <n v="38575"/>
        <n v="31164"/>
        <n v="8935"/>
        <n v="26926"/>
        <n v="38103"/>
        <n v="43768"/>
        <n v="33696"/>
        <n v="45962"/>
        <n v="10790"/>
        <n v="8431"/>
        <n v="26940"/>
        <n v="29250"/>
        <n v="23300"/>
        <n v="58892"/>
        <n v="41699"/>
        <n v="43554"/>
        <n v="52182"/>
        <n v="34184"/>
        <n v="20138"/>
        <n v="16327"/>
        <n v="9877"/>
        <n v="24294"/>
        <n v="49773"/>
        <n v="33799"/>
        <n v="36170"/>
        <n v="47381"/>
        <n v="28228"/>
        <n v="40454"/>
        <n v="7668"/>
        <n v="13534"/>
        <n v="22484"/>
        <n v="23801"/>
        <n v="22696"/>
        <n v="36376"/>
        <n v="51243"/>
        <n v="30323"/>
        <n v="39730"/>
        <n v="38676"/>
        <n v="40942"/>
        <n v="37645"/>
        <n v="47542"/>
        <n v="44208"/>
        <n v="32578"/>
        <n v="11818"/>
        <n v="10954"/>
        <n v="12493"/>
        <n v="11741"/>
        <n v="18892"/>
        <n v="24282"/>
        <n v="28468"/>
        <n v="40986"/>
        <n v="48374"/>
        <n v="36581"/>
        <n v="27926"/>
        <n v="46569"/>
        <n v="32688"/>
        <n v="35537"/>
        <n v="9310"/>
        <n v="11814"/>
        <n v="23238"/>
        <n v="22772"/>
        <n v="6476"/>
        <n v="17316"/>
        <n v="27329"/>
        <n v="18711"/>
        <n v="29867"/>
        <n v="28903"/>
        <n v="40639"/>
        <n v="32707"/>
        <n v="30426"/>
        <n v="45740"/>
        <n v="47007"/>
        <n v="33783"/>
        <n v="22656"/>
        <n v="12395"/>
        <n v="23805"/>
        <n v="32355"/>
        <n v="19828"/>
        <n v="23185"/>
        <n v="24369"/>
        <n v="35201"/>
        <n v="51975"/>
        <n v="37504"/>
        <n v="37310"/>
        <n v="39879"/>
        <n v="48246"/>
        <n v="31115"/>
        <n v="15075"/>
        <n v="17587"/>
        <n v="18368"/>
        <n v="11092"/>
        <n v="37946"/>
        <n v="30365"/>
        <n v="29583"/>
        <n v="24722"/>
        <n v="37362"/>
        <n v="32319"/>
        <n v="12514"/>
        <n v="17955"/>
        <n v="10543"/>
        <n v="14167"/>
        <n v="29291"/>
        <n v="13375"/>
        <n v="25564"/>
        <n v="40997"/>
        <n v="43924"/>
        <n v="41632"/>
        <n v="42300"/>
        <n v="48053"/>
        <n v="40273"/>
        <n v="38874"/>
        <n v="45203"/>
        <n v="65901"/>
        <n v="37040"/>
        <n v="24661"/>
        <n v="23229"/>
        <n v="18164"/>
        <n v="32073"/>
        <n v="42566"/>
        <n v="43100"/>
        <n v="50015"/>
        <n v="54588"/>
        <n v="48117"/>
        <n v="32233"/>
        <n v="42216"/>
        <n v="39794"/>
        <n v="41068"/>
        <n v="41869"/>
        <n v="34212"/>
        <n v="17113"/>
        <n v="13102"/>
        <n v="14700"/>
        <n v="22344"/>
        <n v="24671"/>
        <n v="40025"/>
        <n v="9839"/>
        <n v="35894"/>
        <n v="39875"/>
        <n v="35162"/>
        <n v="58650"/>
        <n v="35459"/>
        <n v="34582"/>
        <n v="10030"/>
        <n v="43886"/>
        <n v="47521"/>
        <n v="32117"/>
        <n v="44312"/>
        <n v="29435"/>
        <n v="45832"/>
        <n v="41795"/>
        <n v="9774"/>
        <n v="19866"/>
        <n v="21165"/>
        <n v="9668"/>
        <n v="22153"/>
        <n v="27312"/>
        <n v="27764"/>
        <n v="41926"/>
        <n v="39945"/>
        <n v="38435"/>
        <n v="44775"/>
        <n v="33489"/>
        <n v="31536"/>
        <n v="48308"/>
        <n v="28377"/>
        <n v="5332"/>
        <n v="23068"/>
        <n v="21033"/>
        <n v="25298"/>
        <n v="16453"/>
        <n v="30774"/>
        <n v="29051"/>
        <n v="37336"/>
        <n v="40155"/>
        <n v="44473"/>
        <n v="36488"/>
        <n v="14848"/>
        <n v="28507"/>
        <n v="27377"/>
        <n v="30829"/>
        <n v="28364"/>
        <n v="27416"/>
        <n v="40686"/>
        <n v="39336"/>
        <n v="53145"/>
        <n v="52550"/>
        <n v="38325"/>
        <n v="43188"/>
        <n v="14759"/>
        <n v="21495"/>
        <n v="13915"/>
        <n v="12020"/>
        <n v="22452"/>
        <n v="28977"/>
        <n v="23128"/>
        <n v="35860"/>
        <n v="35146"/>
        <n v="39368"/>
        <n v="51673"/>
        <n v="44554"/>
        <n v="29442"/>
        <n v="52791"/>
        <n v="34286"/>
        <n v="8683"/>
        <n v="15349"/>
        <n v="34859"/>
        <n v="24496"/>
        <n v="13632"/>
        <n v="27241"/>
        <n v="32151"/>
        <n v="36023"/>
        <n v="31340"/>
        <n v="37736"/>
        <n v="39251"/>
        <n v="43128"/>
        <n v="42557"/>
        <n v="32593"/>
        <n v="37785"/>
        <n v="25562"/>
        <n v="9503"/>
        <n v="13737"/>
        <n v="15431"/>
        <n v="25391"/>
        <n v="21380"/>
        <n v="20013"/>
        <n v="38620"/>
        <n v="42980"/>
        <n v="29742"/>
        <n v="34284"/>
        <n v="28265"/>
        <n v="52765"/>
        <n v="45903"/>
        <n v="29378"/>
        <n v="50960"/>
        <n v="33309"/>
        <n v="27145"/>
        <n v="35982"/>
        <n v="43980"/>
        <n v="13811"/>
        <n v="35378"/>
        <n v="22356"/>
        <n v="30911"/>
        <n v="11646"/>
        <n v="12167"/>
        <n v="19728"/>
        <n v="32260"/>
        <n v="30525"/>
        <n v="46740"/>
        <n v="44884"/>
        <n v="36953"/>
        <n v="12873"/>
        <n v="23169"/>
        <n v="11654"/>
        <n v="35080"/>
        <n v="34309"/>
        <n v="29327"/>
        <n v="39822"/>
        <n v="31665"/>
        <n v="40747"/>
        <n v="37409"/>
        <n v="32377"/>
        <n v="38233"/>
        <n v="36948"/>
        <n v="28215"/>
        <n v="43618"/>
        <n v="23191"/>
        <n v="13240"/>
        <n v="30853"/>
        <n v="44075"/>
        <n v="39205"/>
        <n v="41626"/>
        <n v="40201"/>
        <n v="22682"/>
        <n v="20693"/>
        <n v="13254"/>
        <n v="12341"/>
        <n v="18599"/>
        <n v="34491"/>
        <n v="47980"/>
        <n v="36064"/>
        <n v="25719"/>
        <n v="13877"/>
        <n v="13438"/>
        <n v="14545"/>
        <n v="11624"/>
        <n v="14484"/>
        <n v="11333"/>
        <n v="40260"/>
        <n v="54768"/>
        <n v="39667"/>
        <n v="33874"/>
        <n v="39615"/>
        <n v="40274"/>
        <n v="52553"/>
        <n v="40895"/>
        <n v="31894"/>
        <n v="51491"/>
        <n v="12494"/>
        <n v="29058"/>
        <n v="44503"/>
        <n v="14954"/>
        <n v="15026"/>
        <n v="15141"/>
        <n v="11485"/>
        <n v="14712"/>
        <n v="34023"/>
        <n v="43944"/>
        <n v="48357"/>
        <n v="30070"/>
        <n v="34595"/>
        <n v="33844"/>
        <n v="13679"/>
        <n v="26448"/>
        <n v="40365"/>
        <n v="12160"/>
        <n v="48505"/>
        <n v="13619"/>
        <n v="23406"/>
        <n v="14426"/>
        <n v="17106"/>
        <n v="26621"/>
        <n v="23215"/>
        <n v="28733"/>
        <n v="20923"/>
        <n v="35706"/>
        <n v="40522"/>
        <n v="38300"/>
        <n v="37239"/>
        <n v="37862"/>
        <n v="41503"/>
        <n v="31139"/>
        <n v="21505"/>
        <n v="11437"/>
        <n v="17090"/>
        <n v="8437"/>
        <n v="30758"/>
        <n v="25436"/>
        <n v="25648"/>
        <n v="31949"/>
        <n v="42179"/>
        <n v="8349"/>
        <n v="32609"/>
        <n v="11583"/>
        <n v="40807"/>
        <n v="41976"/>
        <n v="44221"/>
        <n v="47692"/>
        <n v="21542"/>
        <n v="15945"/>
        <n v="17681"/>
        <n v="16128"/>
        <n v="11500"/>
        <n v="26845"/>
        <n v="33110"/>
        <n v="39370"/>
        <n v="36000"/>
        <n v="35480"/>
        <n v="29635"/>
        <n v="42324"/>
        <n v="18706"/>
        <n v="19268"/>
        <n v="25390"/>
        <n v="27205"/>
        <n v="19280"/>
        <n v="36384"/>
        <n v="23723"/>
        <n v="51998"/>
        <n v="60045"/>
        <n v="47755"/>
        <n v="12504"/>
        <n v="40277"/>
        <n v="24733"/>
        <n v="16344"/>
        <n v="15854"/>
        <n v="33085"/>
        <n v="27786"/>
        <n v="24578"/>
        <n v="26178"/>
        <n v="47287"/>
        <n v="39267"/>
        <n v="45659"/>
        <n v="12591"/>
        <n v="31933"/>
        <n v="40248"/>
        <n v="13530"/>
        <n v="18818"/>
        <n v="15779"/>
        <n v="30872"/>
        <n v="31963"/>
        <n v="50192"/>
        <n v="30450"/>
        <n v="16108"/>
        <n v="30415"/>
        <n v="15812"/>
        <n v="23463"/>
        <n v="8808"/>
        <n v="40015"/>
        <n v="38288"/>
        <n v="29299"/>
        <n v="43044"/>
        <n v="27088"/>
        <n v="36629"/>
        <n v="13616"/>
        <n v="23559"/>
        <n v="31125"/>
        <n v="42565"/>
        <n v="58367"/>
        <n v="37067"/>
        <n v="46971"/>
        <n v="11739"/>
        <n v="23939"/>
        <n v="21297"/>
        <n v="32211"/>
        <n v="39708"/>
        <n v="39254"/>
        <n v="35716"/>
        <n v="39546"/>
        <n v="44499"/>
        <n v="10278"/>
        <n v="12546"/>
        <n v="18198"/>
        <n v="20097"/>
        <n v="18998"/>
        <n v="11572"/>
        <n v="53913"/>
        <n v="57504"/>
        <n v="36658"/>
        <n v="45340"/>
        <n v="47432"/>
        <n v="37194"/>
        <n v="50081"/>
        <n v="43001"/>
        <n v="27363"/>
        <n v="33470"/>
        <n v="19447"/>
        <n v="13795"/>
        <n v="24606"/>
        <n v="30350"/>
        <n v="34708"/>
        <n v="25161"/>
        <n v="19527"/>
        <n v="15521"/>
        <n v="17405"/>
        <n v="23438"/>
        <n v="11432"/>
        <n v="20689"/>
        <n v="42012"/>
        <n v="32344"/>
        <n v="33820"/>
        <n v="37794"/>
        <n v="43320"/>
        <n v="46441"/>
        <n v="32154"/>
        <n v="33226"/>
        <n v="33784"/>
        <n v="12207"/>
        <n v="15105"/>
        <n v="14232"/>
        <n v="16180"/>
        <n v="44984"/>
        <n v="37150"/>
        <n v="34579"/>
        <n v="31593"/>
        <n v="19854"/>
        <n v="37060"/>
        <n v="32610"/>
        <n v="38299"/>
        <n v="6798"/>
        <n v="20585"/>
        <n v="13245"/>
        <n v="25022"/>
        <n v="36990"/>
        <n v="31378"/>
        <n v="41506"/>
        <n v="33751"/>
        <n v="14437"/>
        <n v="15506"/>
        <n v="27021"/>
        <n v="46732"/>
        <n v="25009"/>
        <n v="48625"/>
        <n v="33630"/>
        <n v="33673"/>
        <n v="40465"/>
        <n v="50529"/>
        <n v="55918"/>
        <n v="42983"/>
        <n v="6651"/>
        <n v="15341"/>
        <n v="22540"/>
        <n v="16159"/>
        <n v="35880"/>
        <n v="39212"/>
        <n v="41777"/>
        <n v="40434"/>
        <n v="29663"/>
        <n v="35114"/>
        <n v="14464"/>
        <n v="7702"/>
        <n v="15760"/>
        <n v="9212"/>
        <n v="13500"/>
        <n v="30015"/>
        <n v="38598"/>
        <n v="37561"/>
        <n v="44952"/>
        <n v="35002"/>
        <n v="53843"/>
        <n v="40956"/>
        <n v="41411"/>
        <n v="13073"/>
        <n v="8557"/>
        <n v="36628"/>
        <n v="39362"/>
        <n v="47120"/>
        <n v="14956"/>
        <n v="13029"/>
        <n v="15081"/>
        <n v="43236"/>
        <n v="18228"/>
        <n v="6416"/>
        <n v="26455"/>
        <n v="34463"/>
        <n v="27053"/>
        <n v="30104"/>
        <n v="25676"/>
        <n v="25400"/>
        <n v="45180"/>
        <n v="41388"/>
        <n v="47733"/>
        <n v="34959"/>
        <n v="5346"/>
        <n v="16421"/>
        <n v="28313"/>
        <n v="23211"/>
        <n v="30638"/>
        <n v="42409"/>
        <n v="36116"/>
        <n v="48472"/>
        <n v="49959"/>
        <n v="45912"/>
        <n v="14764"/>
        <n v="13388"/>
        <n v="30223"/>
        <n v="35428"/>
        <n v="42505"/>
        <n v="39922"/>
        <n v="37698"/>
        <n v="28924"/>
        <n v="44069"/>
        <n v="39293"/>
        <n v="10514"/>
        <n v="9796"/>
        <n v="11148"/>
        <n v="16329"/>
        <n v="11454"/>
        <n v="25690"/>
        <n v="31751"/>
        <n v="34813"/>
        <n v="27622"/>
        <n v="32818"/>
        <n v="32455"/>
        <n v="47847"/>
        <n v="23356"/>
        <n v="10146"/>
        <n v="13269"/>
        <n v="13432"/>
        <n v="22173"/>
        <n v="14256"/>
        <n v="39623"/>
        <n v="30844"/>
        <n v="43110"/>
        <n v="44963"/>
        <n v="34998"/>
        <n v="15432"/>
        <n v="14282"/>
        <n v="11276"/>
        <n v="20898"/>
        <n v="19047"/>
        <n v="20636"/>
        <n v="27171"/>
        <n v="20771"/>
        <n v="35266"/>
        <n v="24464"/>
        <n v="38147"/>
        <n v="35024"/>
        <n v="33322"/>
        <n v="39019"/>
        <n v="24463"/>
        <n v="29395"/>
        <n v="11042"/>
        <n v="13920"/>
        <n v="29329"/>
        <n v="16168"/>
        <n v="52448"/>
        <n v="44390"/>
        <n v="19657"/>
        <n v="12415"/>
        <n v="35224"/>
        <n v="34362"/>
        <n v="45381"/>
        <n v="31003"/>
        <n v="28838"/>
        <n v="18730"/>
        <n v="22873"/>
        <n v="31220"/>
        <n v="31889"/>
        <n v="35551"/>
        <n v="33885"/>
        <n v="40444"/>
        <n v="37016"/>
        <n v="15914"/>
        <n v="11822"/>
        <n v="13341"/>
        <n v="13538"/>
        <n v="11727"/>
        <n v="31497"/>
        <n v="29468"/>
        <n v="38821"/>
        <n v="31068"/>
        <n v="49263"/>
        <n v="12802"/>
        <n v="7291"/>
        <n v="36229"/>
        <n v="43547"/>
        <n v="20334"/>
        <n v="20938"/>
        <n v="14851"/>
        <n v="27584"/>
        <n v="28181"/>
        <n v="47625"/>
        <n v="24739"/>
        <n v="22314"/>
        <n v="14451"/>
        <n v="12058"/>
        <n v="6590"/>
        <n v="17733"/>
        <n v="35574"/>
        <n v="41034"/>
        <n v="28937"/>
        <n v="45402"/>
        <n v="24473"/>
        <n v="42309"/>
        <n v="45708"/>
        <n v="31178"/>
        <n v="11385"/>
        <n v="52104"/>
        <n v="28960"/>
        <n v="39692"/>
        <n v="25801"/>
        <n v="59867"/>
        <n v="50326"/>
        <n v="37985"/>
        <n v="37788"/>
        <n v="37349"/>
        <n v="41757"/>
        <n v="33245"/>
        <n v="20572"/>
        <n v="14447"/>
        <n v="10000"/>
        <n v="39328"/>
        <n v="37348"/>
        <n v="32507"/>
        <n v="7487"/>
        <n v="25174"/>
        <n v="29940"/>
        <n v="13586"/>
        <n v="11060"/>
        <n v="27461"/>
        <n v="51151"/>
        <n v="36740"/>
        <n v="42608"/>
        <n v="47383"/>
        <n v="13743"/>
        <n v="11149"/>
        <n v="13622"/>
        <n v="17728"/>
        <n v="34392"/>
        <n v="43810"/>
        <n v="44116"/>
        <n v="40008"/>
        <n v="44823"/>
        <n v="46706"/>
        <n v="24704"/>
        <n v="27676"/>
        <n v="22495"/>
        <n v="39045"/>
        <n v="37807"/>
        <n v="39658"/>
        <n v="52151"/>
        <n v="37034"/>
        <n v="12694"/>
        <n v="15114"/>
        <n v="16318"/>
        <n v="17512"/>
        <n v="37938"/>
        <n v="43167"/>
        <n v="37316"/>
        <n v="33789"/>
        <n v="24919"/>
        <n v="41724"/>
        <n v="39305"/>
        <n v="44061"/>
        <n v="40551"/>
        <n v="46375"/>
        <n v="41344"/>
        <n v="47154"/>
        <n v="42708"/>
        <n v="40078"/>
        <n v="13208"/>
        <n v="19111"/>
        <n v="10972"/>
        <n v="18633"/>
        <n v="18126"/>
        <n v="18144"/>
        <n v="26893"/>
        <n v="41505"/>
        <n v="50694"/>
        <n v="48025"/>
        <n v="38341"/>
        <n v="19949"/>
        <n v="29646"/>
        <n v="42135"/>
        <n v="22800"/>
        <n v="41399"/>
        <n v="45216"/>
        <n v="19892"/>
        <n v="25223"/>
        <n v="47771"/>
        <n v="36883"/>
        <n v="31783"/>
        <n v="39726"/>
        <n v="28771"/>
        <n v="30960"/>
        <n v="30245"/>
        <n v="36685"/>
        <n v="47409"/>
        <n v="14134"/>
        <n v="5881"/>
        <n v="26569"/>
        <n v="30494"/>
        <n v="34485"/>
        <n v="48724"/>
        <n v="35818"/>
        <n v="39276"/>
        <n v="41605"/>
        <n v="47445"/>
        <n v="38930"/>
        <n v="27044"/>
        <n v="17671"/>
        <n v="18176"/>
        <n v="14016"/>
        <n v="12185"/>
        <n v="33510"/>
        <n v="25234"/>
        <n v="32914"/>
        <n v="34259"/>
        <n v="50679"/>
        <n v="30182"/>
        <n v="36645"/>
        <n v="19898"/>
        <n v="17258"/>
        <n v="31323"/>
        <n v="40861"/>
        <n v="26930"/>
        <n v="39666"/>
        <n v="52805"/>
        <n v="37986"/>
        <n v="12712"/>
        <n v="42551"/>
        <n v="21498"/>
        <n v="14683"/>
        <n v="15011"/>
        <n v="14983"/>
        <n v="14661"/>
        <n v="5774"/>
        <n v="12338"/>
        <n v="54757"/>
        <n v="27306"/>
        <n v="11337"/>
        <n v="20503"/>
        <n v="37598"/>
        <n v="30737"/>
        <n v="47543"/>
        <n v="24094"/>
        <n v="33815"/>
        <n v="13130"/>
        <n v="14402"/>
        <n v="8095"/>
        <n v="20498"/>
        <n v="24032"/>
        <n v="34897"/>
        <n v="42405"/>
        <n v="42328"/>
        <n v="37242"/>
        <n v="9025"/>
        <n v="43151"/>
        <n v="36683"/>
        <n v="32666"/>
        <n v="31060"/>
        <n v="10343"/>
        <n v="15423"/>
        <n v="43487"/>
        <n v="39568"/>
        <n v="46489"/>
        <n v="40016"/>
        <n v="39909"/>
        <n v="37795"/>
        <n v="25522"/>
        <n v="30854"/>
        <n v="10334"/>
        <n v="18669"/>
        <n v="40843"/>
        <n v="28751"/>
        <n v="41877"/>
        <n v="45622"/>
        <n v="42914"/>
        <n v="47778"/>
        <n v="30061"/>
        <n v="44112"/>
        <n v="62633"/>
        <n v="14693"/>
        <n v="27919"/>
        <n v="16383"/>
        <n v="11517"/>
        <n v="22347"/>
        <n v="26012"/>
        <n v="10337"/>
        <n v="42085"/>
        <n v="24246"/>
        <n v="10232"/>
        <n v="24232"/>
        <n v="33433"/>
        <n v="38631"/>
        <n v="39509"/>
        <n v="30396"/>
        <n v="39893"/>
        <n v="33033"/>
        <n v="43205"/>
        <n v="48851"/>
        <n v="41195"/>
        <n v="44361"/>
        <n v="16674"/>
        <n v="24258"/>
        <n v="8068"/>
        <n v="17716"/>
        <n v="45184"/>
        <n v="34099"/>
        <n v="39520"/>
        <n v="40668"/>
        <n v="39534"/>
        <n v="20784"/>
        <n v="11757"/>
        <n v="50191"/>
        <n v="49426"/>
        <n v="37246"/>
        <n v="53974"/>
        <n v="40857"/>
        <n v="35102"/>
        <n v="37692"/>
        <n v="38315"/>
        <n v="39415"/>
        <n v="19476"/>
        <n v="26788"/>
        <n v="20657"/>
        <n v="13654"/>
        <n v="19455"/>
        <n v="28268"/>
        <n v="15242"/>
        <n v="33576"/>
        <n v="35700"/>
        <n v="35655"/>
        <n v="9660"/>
        <n v="35755"/>
        <n v="40288"/>
        <n v="36789"/>
        <n v="31673"/>
        <n v="44807"/>
        <n v="51164"/>
        <n v="43058"/>
        <n v="8131"/>
        <n v="14911"/>
        <n v="13155"/>
        <n v="8847"/>
        <n v="18364"/>
        <n v="18784"/>
        <n v="26072"/>
        <n v="22463"/>
        <n v="25783"/>
        <n v="30954"/>
        <n v="34432"/>
        <n v="50295"/>
        <n v="34676"/>
        <n v="24821"/>
        <n v="10839"/>
        <n v="11960"/>
        <n v="11988"/>
        <n v="9899"/>
        <n v="12114"/>
        <n v="26551"/>
        <n v="19786"/>
        <n v="34302"/>
        <n v="45424"/>
        <n v="40424"/>
        <n v="33602"/>
        <n v="45351"/>
        <n v="35713"/>
        <n v="48059"/>
        <n v="50098"/>
        <n v="48042"/>
        <n v="12596"/>
        <n v="9921"/>
        <n v="16351"/>
        <n v="9773"/>
        <n v="13727"/>
        <n v="22107"/>
        <n v="13972"/>
        <n v="18048"/>
        <n v="32690"/>
        <n v="29970"/>
        <n v="32905"/>
        <n v="35187"/>
        <n v="47591"/>
        <n v="42059"/>
        <n v="41802"/>
        <n v="31473"/>
        <n v="10933"/>
        <n v="9951"/>
        <n v="13526"/>
        <n v="22319"/>
        <n v="23183"/>
        <n v="11137"/>
        <n v="24925"/>
        <n v="23556"/>
        <n v="60333"/>
        <n v="26228"/>
        <n v="24513"/>
        <n v="38030"/>
        <n v="45177"/>
        <n v="39410"/>
        <n v="31412"/>
        <n v="32381"/>
        <n v="42394"/>
        <n v="31922"/>
        <n v="31791"/>
        <n v="13087"/>
        <n v="14610"/>
        <n v="17398"/>
        <n v="25762"/>
        <n v="31531"/>
        <n v="47578"/>
        <n v="37669"/>
        <n v="43795"/>
        <n v="34935"/>
        <n v="42553"/>
        <n v="45854"/>
        <n v="47523"/>
        <n v="31996"/>
        <n v="19135"/>
        <n v="18410"/>
        <n v="20155"/>
        <n v="26876"/>
        <n v="28239"/>
        <n v="25384"/>
        <n v="45725"/>
        <n v="48583"/>
        <n v="40561"/>
        <n v="40460"/>
        <n v="36673"/>
        <n v="30346"/>
        <n v="11947"/>
        <n v="12839"/>
        <n v="41790"/>
        <n v="31477"/>
        <n v="30364"/>
        <n v="30069"/>
        <n v="10341"/>
        <n v="27117"/>
        <n v="12371"/>
        <n v="12195"/>
        <n v="17333"/>
        <n v="32496"/>
        <n v="43714"/>
        <n v="45241"/>
        <n v="39770"/>
        <n v="33326"/>
        <n v="38104"/>
        <n v="34263"/>
        <n v="23267"/>
        <n v="15295"/>
        <n v="26123"/>
        <n v="18043"/>
        <n v="18213"/>
        <n v="22064"/>
        <n v="33745"/>
        <n v="27062"/>
        <n v="49529"/>
        <n v="13505"/>
        <n v="13721"/>
        <n v="37180"/>
        <n v="23048"/>
        <n v="11193"/>
        <n v="13137"/>
        <n v="14317"/>
        <n v="15240"/>
        <n v="24208"/>
        <n v="24060"/>
        <n v="41069"/>
        <n v="31535"/>
        <n v="27611"/>
        <n v="23539"/>
        <n v="42884"/>
        <n v="34947"/>
        <n v="35631"/>
        <n v="17667"/>
        <n v="30132"/>
        <n v="27886"/>
        <n v="41748"/>
        <n v="34823"/>
        <n v="33557"/>
        <n v="34875"/>
        <n v="37915"/>
        <n v="29669"/>
        <n v="45807"/>
        <n v="13755"/>
        <n v="31147"/>
        <n v="13176"/>
        <n v="16441"/>
        <n v="41107"/>
        <n v="47297"/>
        <n v="40364"/>
        <n v="38265"/>
        <n v="60280"/>
        <n v="25247"/>
        <n v="48759"/>
        <n v="22304"/>
        <n v="39812"/>
        <n v="32968"/>
        <n v="15856"/>
        <n v="13088"/>
        <n v="29369"/>
        <n v="8947"/>
        <n v="12082"/>
        <n v="16765"/>
        <n v="15909"/>
        <n v="21293"/>
        <n v="41604"/>
        <n v="46356"/>
        <n v="31839"/>
        <n v="32766"/>
        <n v="32406"/>
        <n v="33998"/>
        <n v="48330"/>
        <n v="43836"/>
        <n v="32698"/>
        <n v="43882"/>
        <n v="13227"/>
        <n v="10048"/>
        <n v="26631"/>
        <n v="44685"/>
        <n v="25586"/>
        <n v="25877"/>
        <n v="19065"/>
        <n v="39626"/>
        <n v="41874"/>
        <n v="17878"/>
        <n v="15829"/>
        <n v="23910"/>
        <n v="28108"/>
        <n v="50397"/>
        <n v="54792"/>
        <n v="37136"/>
        <n v="34911"/>
        <n v="54222"/>
        <n v="36712"/>
        <n v="39725"/>
        <n v="31767"/>
        <n v="34096"/>
        <n v="30576"/>
        <n v="14821"/>
        <n v="23949"/>
        <n v="16151"/>
        <n v="44018"/>
        <n v="43117"/>
        <n v="37048"/>
        <n v="41232"/>
        <n v="22868"/>
        <n v="9769"/>
        <n v="21282"/>
        <n v="16730"/>
        <n v="37516"/>
        <n v="25660"/>
        <n v="40091"/>
        <n v="27369"/>
        <n v="17529"/>
        <n v="26571"/>
        <n v="26487"/>
        <n v="31158"/>
        <n v="53583"/>
        <n v="51073"/>
        <n v="27341"/>
        <n v="21096"/>
        <n v="51015"/>
        <n v="34264"/>
        <n v="48336"/>
        <n v="14496"/>
        <n v="30912"/>
        <n v="14166"/>
        <n v="11429"/>
        <n v="35426"/>
        <n v="30114"/>
        <n v="41160"/>
        <n v="40113"/>
        <n v="34025"/>
        <n v="35271"/>
        <n v="44298"/>
        <n v="14687"/>
        <n v="12575"/>
        <n v="13097"/>
        <n v="12780"/>
        <n v="12642"/>
        <n v="22099"/>
        <n v="9745"/>
        <n v="25003"/>
        <n v="28284"/>
        <n v="38662"/>
        <n v="43699"/>
        <n v="41787"/>
        <n v="13039"/>
        <n v="11803"/>
        <n v="13197"/>
        <n v="17559"/>
        <n v="37513"/>
        <n v="41387"/>
        <n v="27901"/>
        <n v="42315"/>
        <n v="31490"/>
        <n v="48762"/>
        <n v="30199"/>
        <n v="29914"/>
        <n v="31020"/>
        <n v="23162"/>
        <n v="13775"/>
        <n v="11192"/>
        <n v="19148"/>
        <n v="12827"/>
        <n v="18248"/>
        <n v="38609"/>
        <n v="48567"/>
        <n v="41091"/>
        <n v="36634"/>
        <n v="36809"/>
        <n v="19321"/>
        <n v="37688"/>
        <n v="11410"/>
        <n v="25784"/>
        <n v="26335"/>
        <n v="26495"/>
        <n v="32088"/>
        <n v="30492"/>
        <n v="33478"/>
        <n v="50910"/>
        <n v="59833"/>
        <n v="39086"/>
        <n v="30964"/>
        <n v="31030"/>
        <n v="33575"/>
        <n v="50282"/>
        <n v="32324"/>
        <n v="29771"/>
        <n v="37112"/>
        <n v="54232"/>
        <n v="32254"/>
        <n v="39384"/>
        <n v="40215"/>
        <n v="34408"/>
        <n v="35068"/>
        <n v="10740"/>
        <n v="39831"/>
        <n v="19001"/>
        <n v="13974"/>
        <n v="14590"/>
        <n v="13313"/>
        <n v="17033"/>
        <n v="7938"/>
        <n v="24273"/>
        <n v="35294"/>
        <n v="48051"/>
        <n v="34472"/>
        <n v="12532"/>
        <n v="37854"/>
        <n v="22869"/>
        <n v="50171"/>
        <n v="34642"/>
        <n v="26376"/>
        <n v="48034"/>
        <n v="39703"/>
        <n v="44470"/>
        <n v="36183"/>
        <n v="12609"/>
        <n v="30768"/>
        <n v="17650"/>
        <n v="29526"/>
        <n v="33346"/>
        <n v="29087"/>
        <n v="49429"/>
        <n v="32421"/>
        <n v="44184"/>
        <n v="38383"/>
        <n v="46353"/>
        <n v="7065"/>
        <n v="15106"/>
        <n v="12805"/>
        <n v="32009"/>
        <n v="46042"/>
        <n v="43638"/>
        <n v="38495"/>
        <n v="31287"/>
        <n v="62666"/>
        <n v="38593"/>
        <n v="50872"/>
        <n v="11834"/>
        <n v="12277"/>
        <n v="12284"/>
        <n v="23124"/>
        <n v="31346"/>
        <n v="57470"/>
        <n v="38608"/>
        <n v="29086"/>
        <n v="31528"/>
        <n v="35282"/>
        <n v="52583"/>
        <n v="28464"/>
        <n v="19519"/>
        <n v="55600"/>
        <n v="52838"/>
        <n v="31724"/>
        <n v="6381"/>
        <n v="8535"/>
        <n v="16632"/>
        <n v="10566"/>
        <n v="11952"/>
        <n v="10637"/>
        <n v="25947"/>
        <n v="35471"/>
        <n v="28582"/>
        <n v="46019"/>
        <n v="33638"/>
        <n v="17937"/>
        <n v="25099"/>
        <n v="46346"/>
        <n v="50649"/>
        <n v="42631"/>
        <n v="39377"/>
        <n v="41398"/>
        <n v="12547"/>
        <n v="37154"/>
        <n v="15546"/>
        <n v="16530"/>
        <n v="41153"/>
        <n v="20386"/>
        <n v="10459"/>
        <n v="32679"/>
        <n v="32467"/>
        <n v="41040"/>
        <n v="33917"/>
        <n v="45527"/>
        <n v="36464"/>
        <n v="12402"/>
        <n v="16042"/>
        <n v="15406"/>
        <n v="12635"/>
        <n v="12194"/>
        <n v="32692"/>
        <n v="25933"/>
        <n v="32534"/>
        <n v="41198"/>
        <n v="47176"/>
        <n v="49413"/>
        <n v="29293"/>
        <n v="46880"/>
        <n v="36175"/>
        <n v="29351"/>
        <n v="31720"/>
        <n v="18831"/>
        <n v="18902"/>
        <n v="26728"/>
        <n v="32143"/>
        <n v="30404"/>
        <n v="31006"/>
        <n v="37264"/>
        <n v="43356"/>
        <n v="33910"/>
        <n v="46389"/>
        <n v="49280"/>
        <n v="39828"/>
        <n v="17888"/>
        <n v="31784"/>
        <n v="13218"/>
        <n v="37240"/>
        <n v="31814"/>
        <n v="44790"/>
        <n v="39283"/>
        <n v="42004"/>
        <n v="14077"/>
        <n v="14345"/>
        <n v="11221"/>
        <n v="18487"/>
        <n v="8104"/>
        <n v="28073"/>
        <n v="39936"/>
        <n v="33839"/>
        <n v="42126"/>
        <n v="43265"/>
        <n v="41502"/>
        <n v="42088"/>
        <n v="32903"/>
        <n v="22710"/>
        <n v="20571"/>
        <n v="21767"/>
        <n v="11771"/>
        <n v="17125"/>
        <n v="9127"/>
        <n v="32989"/>
        <n v="33699"/>
        <n v="32005"/>
        <n v="43452"/>
        <n v="35793"/>
        <n v="36796"/>
        <n v="50426"/>
        <n v="41242"/>
        <n v="18406"/>
        <n v="21657"/>
        <n v="52661"/>
        <n v="29799"/>
        <n v="48045"/>
        <n v="45530"/>
        <n v="35394"/>
        <n v="16342"/>
        <n v="22096"/>
        <n v="36231"/>
        <n v="43373"/>
        <n v="32733"/>
        <n v="34475"/>
        <n v="28628"/>
        <n v="32159"/>
        <n v="39857"/>
        <n v="31204"/>
        <n v="8678"/>
        <n v="31050"/>
        <n v="49674"/>
        <n v="8917"/>
        <n v="48225"/>
        <n v="26563"/>
        <n v="18748"/>
        <n v="12701"/>
        <n v="16492"/>
        <n v="21789"/>
        <n v="33627"/>
        <n v="42195"/>
        <n v="39310"/>
        <n v="30806"/>
        <n v="12560"/>
        <n v="24438"/>
        <n v="14417"/>
        <n v="16863"/>
        <n v="21229"/>
        <n v="19480"/>
        <n v="25618"/>
        <n v="25713"/>
        <n v="35796"/>
        <n v="50011"/>
        <n v="12462"/>
        <n v="20368"/>
        <n v="13318"/>
        <n v="31816"/>
        <n v="20861"/>
        <n v="26070"/>
        <n v="40619"/>
        <n v="42770"/>
        <n v="40346"/>
        <n v="49803"/>
        <n v="29939"/>
        <n v="35726"/>
        <n v="14471"/>
        <n v="13113"/>
        <n v="42475"/>
        <n v="35717"/>
        <n v="40622"/>
        <n v="40443"/>
        <n v="11828"/>
        <n v="32720"/>
        <n v="33376"/>
        <n v="33089"/>
        <n v="38072"/>
        <n v="49375"/>
        <n v="53764"/>
        <n v="30380"/>
        <n v="42237"/>
        <n v="10206"/>
        <n v="40143"/>
        <n v="31687"/>
        <n v="22179"/>
        <n v="44059"/>
        <n v="23005"/>
        <n v="26409"/>
        <n v="30648"/>
        <n v="41423"/>
        <n v="53966"/>
        <n v="38615"/>
        <n v="22658"/>
        <n v="17469"/>
        <n v="20168"/>
        <n v="19534"/>
        <n v="30815"/>
        <n v="54370"/>
        <n v="12684"/>
        <n v="26258"/>
        <n v="42298"/>
        <n v="27242"/>
        <n v="57234"/>
        <n v="47470"/>
        <n v="12643"/>
        <n v="27244"/>
        <n v="20839"/>
        <n v="13813"/>
        <n v="24362"/>
        <n v="20330"/>
        <n v="43805"/>
        <n v="45830"/>
        <n v="37031"/>
        <n v="41120"/>
        <n v="38614"/>
        <n v="13439"/>
        <n v="22047"/>
        <n v="15611"/>
        <n v="25731"/>
        <n v="30249"/>
        <n v="33708"/>
        <n v="35172"/>
        <n v="72067"/>
        <n v="33911"/>
        <n v="38428"/>
        <n v="30568"/>
        <n v="11887"/>
        <n v="8342"/>
        <n v="16131"/>
        <n v="12166"/>
        <n v="26242"/>
        <n v="34969"/>
        <n v="20151"/>
        <n v="14327"/>
        <n v="49499"/>
        <n v="32657"/>
        <n v="50102"/>
        <n v="40284"/>
        <n v="32346"/>
        <n v="32959"/>
        <n v="15722"/>
        <n v="14962"/>
        <n v="26649"/>
        <n v="30299"/>
        <n v="50940"/>
        <n v="40006"/>
        <n v="48144"/>
        <n v="33785"/>
        <n v="36278"/>
        <n v="30646"/>
        <n v="40178"/>
        <n v="44756"/>
        <n v="11761"/>
        <n v="14508"/>
        <n v="12843"/>
        <n v="19999"/>
        <n v="12285"/>
        <n v="44532"/>
        <n v="26961"/>
        <n v="40105"/>
        <n v="29037"/>
        <n v="57128"/>
        <n v="14078"/>
        <n v="11176"/>
        <n v="15699"/>
        <n v="19948"/>
        <n v="14422"/>
        <n v="31390"/>
        <n v="26514"/>
        <n v="32048"/>
        <n v="38796"/>
        <n v="30448"/>
        <n v="10290"/>
        <n v="20422"/>
        <n v="25503"/>
        <n v="50747"/>
        <n v="40278"/>
        <n v="33956"/>
        <n v="6088"/>
        <n v="13306"/>
        <n v="39866"/>
        <n v="29122"/>
        <n v="44456"/>
        <n v="47387"/>
        <n v="57674"/>
        <n v="41655"/>
        <n v="32739"/>
        <n v="33259"/>
        <n v="15212"/>
        <n v="18940"/>
        <n v="8899"/>
        <n v="11775"/>
        <n v="26532"/>
        <n v="48047"/>
        <n v="41165"/>
        <n v="40372"/>
        <n v="32422"/>
        <n v="39593"/>
        <n v="37471"/>
        <n v="41548"/>
        <n v="14634"/>
        <n v="28298"/>
        <n v="15342"/>
        <n v="29647"/>
        <n v="17272"/>
        <n v="32656"/>
        <n v="31812"/>
        <n v="28376"/>
        <n v="35856"/>
        <n v="37959"/>
        <n v="46423"/>
        <n v="30985"/>
        <n v="28002"/>
        <n v="15814"/>
        <n v="19572"/>
        <n v="15427"/>
        <n v="17050"/>
        <n v="23179"/>
        <n v="20726"/>
        <n v="14908"/>
        <n v="12784"/>
        <n v="17947"/>
        <n v="30413"/>
        <n v="33465"/>
        <n v="34728"/>
        <n v="43367"/>
        <n v="37089"/>
        <n v="39853"/>
        <n v="21305"/>
        <n v="13387"/>
        <n v="37360"/>
        <n v="43418"/>
        <n v="46238"/>
        <n v="43673"/>
        <n v="43195"/>
        <n v="37878"/>
        <n v="40230"/>
        <n v="14349"/>
        <n v="12844"/>
        <n v="36806"/>
        <n v="33214"/>
        <n v="20667"/>
        <n v="13688"/>
        <n v="12003"/>
        <n v="27106"/>
        <n v="22593"/>
        <n v="39727"/>
        <n v="42584"/>
        <n v="52822"/>
        <n v="28216"/>
        <n v="8115"/>
        <n v="13859"/>
        <n v="12578"/>
        <n v="18593"/>
        <n v="48877"/>
        <n v="24634"/>
        <n v="44438"/>
        <n v="54367"/>
        <n v="34753"/>
        <n v="38843"/>
        <n v="45129"/>
        <n v="34598"/>
        <n v="9163"/>
        <n v="10169"/>
        <n v="12350"/>
        <n v="29166"/>
        <n v="7504"/>
        <n v="35170"/>
        <n v="43601"/>
        <n v="48912"/>
        <n v="35615"/>
        <n v="40657"/>
        <n v="24941"/>
        <n v="30866"/>
        <n v="22818"/>
        <n v="26938"/>
        <n v="29590"/>
        <n v="40806"/>
        <n v="52376"/>
        <n v="50079"/>
        <n v="38588"/>
        <n v="37838"/>
        <n v="37300"/>
        <n v="16225"/>
        <n v="8868"/>
        <n v="30545"/>
        <n v="10643"/>
        <n v="5387"/>
        <n v="14805"/>
        <n v="23605"/>
        <n v="20970"/>
        <n v="31091"/>
        <n v="32410"/>
        <n v="35445"/>
        <n v="45543"/>
        <n v="31024"/>
        <n v="10107"/>
        <n v="24401"/>
        <n v="22222"/>
        <n v="29643"/>
        <n v="26695"/>
        <n v="17320"/>
        <n v="21245"/>
        <n v="46761"/>
        <n v="41222"/>
        <n v="40110"/>
        <n v="46769"/>
        <n v="12078"/>
        <n v="25076"/>
        <n v="22289"/>
        <n v="24922"/>
        <n v="12439"/>
        <n v="27258"/>
        <n v="43839"/>
        <n v="33535"/>
        <n v="38895"/>
        <n v="28126"/>
        <n v="55885"/>
        <n v="36525"/>
        <n v="39999"/>
        <n v="8073"/>
        <n v="14541"/>
        <n v="18231"/>
        <n v="17837"/>
        <n v="24177"/>
        <n v="39931"/>
        <n v="32399"/>
        <n v="45738"/>
        <n v="56295"/>
        <n v="34073"/>
        <n v="31986"/>
        <n v="18273"/>
        <n v="29585"/>
        <n v="16746"/>
        <n v="13403"/>
        <n v="23409"/>
        <n v="34522"/>
        <n v="34669"/>
        <n v="40728"/>
        <n v="46721"/>
        <n v="24346"/>
        <n v="41122"/>
        <n v="6989"/>
        <n v="14849"/>
        <n v="11034"/>
        <n v="17259"/>
        <n v="24696"/>
        <n v="26833"/>
        <n v="47116"/>
        <n v="31909"/>
        <n v="12953"/>
        <n v="13222"/>
        <n v="23057"/>
        <n v="45123"/>
        <n v="19578"/>
        <n v="11309"/>
        <n v="19537"/>
        <n v="12077"/>
        <n v="8008"/>
        <n v="8419"/>
        <n v="22790"/>
        <n v="33295"/>
        <n v="25978"/>
        <n v="32183"/>
        <n v="43371"/>
        <n v="41230"/>
        <n v="39903"/>
        <n v="52459"/>
        <n v="9165"/>
        <n v="7314"/>
        <n v="13630"/>
        <n v="11683"/>
        <n v="13759"/>
        <n v="38541"/>
        <n v="37485"/>
        <n v="34717"/>
        <n v="36655"/>
        <n v="51329"/>
        <n v="39436"/>
        <n v="11932"/>
        <n v="14999"/>
        <n v="14052"/>
        <n v="19608"/>
        <n v="23423"/>
        <n v="38825"/>
        <n v="47653"/>
        <n v="50109"/>
        <n v="41159"/>
        <n v="31308"/>
        <n v="35023"/>
        <n v="12648"/>
        <n v="34332"/>
        <n v="32259"/>
        <n v="30374"/>
        <n v="43204"/>
        <n v="36651"/>
        <n v="51473"/>
        <n v="46710"/>
        <n v="30780"/>
        <n v="43997"/>
        <n v="11428"/>
        <n v="24518"/>
        <n v="36936"/>
        <n v="55186"/>
        <n v="52108"/>
        <n v="46589"/>
        <n v="38770"/>
        <n v="15384"/>
        <n v="21682"/>
        <n v="32400"/>
        <n v="24125"/>
        <n v="35015"/>
        <n v="37195"/>
        <n v="44891"/>
        <n v="26385"/>
        <n v="7013"/>
        <n v="14598"/>
        <n v="15799"/>
        <n v="36439"/>
        <n v="11052"/>
        <n v="24787"/>
        <n v="36814"/>
        <n v="40247"/>
        <n v="41511"/>
        <n v="38961"/>
        <n v="37898"/>
        <n v="8325"/>
        <n v="11518"/>
        <n v="9374"/>
        <n v="17873"/>
        <n v="35420"/>
        <n v="29517"/>
        <n v="36790"/>
        <n v="34867"/>
        <n v="52935"/>
        <n v="36427"/>
        <n v="43187"/>
        <n v="10036"/>
        <n v="26777"/>
        <n v="30868"/>
        <n v="34785"/>
        <n v="40350"/>
        <n v="47183"/>
        <n v="43104"/>
        <n v="35589"/>
        <n v="30572"/>
        <n v="15438"/>
        <n v="29281"/>
        <n v="29269"/>
        <n v="47480"/>
        <n v="20427"/>
        <n v="14798"/>
        <n v="32466"/>
        <n v="34337"/>
        <n v="52600"/>
        <n v="37691"/>
        <n v="47757"/>
        <n v="47659"/>
        <n v="36285"/>
        <n v="43285"/>
        <n v="10141"/>
        <n v="32049"/>
        <n v="20580"/>
        <n v="7122"/>
        <n v="19341"/>
        <n v="5326"/>
        <n v="27308"/>
        <n v="37503"/>
        <n v="26231"/>
        <n v="31944"/>
        <n v="46584"/>
        <n v="34477"/>
        <n v="46401"/>
        <n v="18340"/>
        <n v="6095"/>
        <n v="7410"/>
        <n v="7634"/>
        <n v="15021"/>
        <n v="30304"/>
        <n v="44167"/>
        <n v="35987"/>
        <n v="17749"/>
        <n v="37756"/>
        <n v="33921"/>
        <n v="39497"/>
        <n v="35772"/>
        <n v="14976"/>
        <n v="10977"/>
        <n v="6075"/>
        <n v="15085"/>
        <n v="31586"/>
        <n v="33364"/>
        <n v="46379"/>
        <n v="20519"/>
        <n v="5402"/>
        <n v="49809"/>
        <n v="35564"/>
        <n v="31199"/>
        <n v="40418"/>
        <n v="43433"/>
        <n v="15102"/>
        <n v="12176"/>
        <n v="36960"/>
        <n v="29430"/>
        <n v="25307"/>
        <n v="32972"/>
        <n v="33925"/>
        <n v="41704"/>
        <n v="54322"/>
        <n v="46887"/>
        <n v="49016"/>
        <n v="45187"/>
        <n v="5267"/>
        <n v="8133"/>
        <n v="14660"/>
        <n v="13394"/>
        <n v="20429"/>
        <n v="25367"/>
        <n v="29417"/>
        <n v="31692"/>
        <n v="49278"/>
        <n v="27923"/>
        <n v="47421"/>
        <n v="29942"/>
        <n v="42118"/>
        <n v="37530"/>
        <n v="48425"/>
        <n v="42876"/>
        <n v="45259"/>
        <n v="47019"/>
        <n v="15113"/>
        <n v="12630"/>
        <n v="12394"/>
        <n v="11613"/>
        <n v="21589"/>
        <n v="35550"/>
        <n v="38858"/>
        <n v="41309"/>
        <n v="36491"/>
        <n v="48880"/>
        <n v="38703"/>
        <n v="58791"/>
        <n v="14877"/>
        <n v="13650"/>
        <n v="10798"/>
        <n v="27600"/>
        <n v="31887"/>
        <n v="25358"/>
        <n v="13315"/>
        <n v="32794"/>
        <n v="45823"/>
        <n v="42150"/>
        <n v="32478"/>
        <n v="12404"/>
        <n v="39363"/>
        <n v="28020"/>
        <n v="35413"/>
        <n v="7338"/>
        <n v="17339"/>
        <n v="29013"/>
        <n v="18018"/>
        <n v="12719"/>
        <n v="26038"/>
        <n v="32279"/>
        <n v="63296"/>
        <n v="36164"/>
        <n v="41668"/>
        <n v="27252"/>
        <n v="11397"/>
        <n v="11507"/>
        <n v="14770"/>
        <n v="21845"/>
        <n v="25976"/>
        <n v="28296"/>
        <n v="28005"/>
        <n v="49460"/>
        <n v="36644"/>
        <n v="35037"/>
        <n v="32934"/>
        <n v="42342"/>
        <n v="17207"/>
        <n v="19738"/>
        <n v="15646"/>
        <n v="19275"/>
        <n v="17780"/>
        <n v="32633"/>
        <n v="35534"/>
        <n v="23092"/>
        <n v="44883"/>
        <n v="39963"/>
        <n v="37649"/>
        <n v="54413"/>
        <n v="58277"/>
        <n v="35874"/>
        <n v="34883"/>
        <n v="31379"/>
        <n v="25329"/>
        <n v="24289"/>
        <n v="36530"/>
        <n v="26745"/>
        <n v="30675"/>
        <n v="36098"/>
        <n v="39062"/>
        <n v="30748"/>
        <n v="34109"/>
        <n v="37081"/>
        <n v="30968"/>
        <n v="31421"/>
        <n v="36985"/>
        <n v="10413"/>
        <n v="39057"/>
        <n v="20660"/>
        <n v="15125"/>
        <n v="11641"/>
        <n v="27113"/>
        <n v="41273"/>
        <n v="39147"/>
        <n v="49304"/>
        <n v="43421"/>
        <n v="32217"/>
        <n v="15412"/>
        <n v="13193"/>
        <n v="13164"/>
        <n v="35907"/>
        <n v="43957"/>
        <n v="39620"/>
        <n v="11246"/>
        <n v="12358"/>
        <n v="20339"/>
        <n v="57296"/>
        <n v="28223"/>
        <n v="30437"/>
        <n v="40665"/>
        <n v="47207"/>
        <n v="43884"/>
        <n v="37269"/>
        <n v="35496"/>
        <n v="15288"/>
        <n v="48026"/>
        <n v="20402"/>
        <n v="32558"/>
        <n v="41452"/>
        <n v="36737"/>
        <n v="38451"/>
        <n v="18635"/>
        <n v="12057"/>
        <n v="17791"/>
        <n v="24595"/>
        <n v="27371"/>
        <n v="10715"/>
        <n v="32549"/>
        <n v="35149"/>
        <n v="36351"/>
        <n v="47149"/>
        <n v="8105"/>
        <n v="13671"/>
        <n v="12749"/>
        <n v="13557"/>
        <n v="15303"/>
        <n v="18286"/>
        <n v="12340"/>
        <n v="31504"/>
        <n v="39968"/>
        <n v="25105"/>
        <n v="28954"/>
        <n v="47292"/>
        <n v="28174"/>
        <n v="5279"/>
        <n v="17576"/>
        <n v="21920"/>
        <n v="14313"/>
        <n v="13268"/>
        <n v="6655"/>
        <n v="5637"/>
        <n v="40609"/>
        <n v="46683"/>
        <n v="33354"/>
        <n v="34849"/>
        <n v="37847"/>
        <n v="41737"/>
        <n v="36323"/>
        <n v="40778"/>
        <n v="12944"/>
        <n v="29007"/>
        <n v="29943"/>
        <n v="10079"/>
        <n v="13422"/>
        <n v="11678"/>
        <n v="16455"/>
        <n v="47761"/>
        <n v="48277"/>
        <n v="42468"/>
        <n v="36070"/>
        <n v="5362"/>
        <n v="16947"/>
        <n v="21049"/>
        <n v="23024"/>
        <n v="29240"/>
        <n v="44353"/>
        <n v="43253"/>
        <n v="26136"/>
        <n v="36751"/>
        <n v="33903"/>
        <n v="36410"/>
        <n v="36318"/>
        <n v="13608"/>
        <n v="12344"/>
        <n v="10843"/>
        <n v="17883"/>
        <n v="22012"/>
        <n v="33003"/>
        <n v="21525"/>
        <n v="44098"/>
        <n v="40140"/>
        <n v="36620"/>
        <n v="34952"/>
        <n v="42873"/>
        <n v="31657"/>
        <n v="9209"/>
        <n v="11627"/>
        <n v="16264"/>
        <n v="19218"/>
        <n v="16212"/>
        <n v="37008"/>
        <n v="10762"/>
        <n v="15375"/>
        <n v="12503"/>
        <n v="14578"/>
        <n v="32161"/>
        <n v="47235"/>
        <n v="33653"/>
        <n v="36399"/>
        <n v="29144"/>
        <n v="20560"/>
        <n v="11682"/>
        <n v="14690"/>
        <n v="13515"/>
        <n v="17588"/>
        <n v="11064"/>
        <n v="48914"/>
        <n v="28917"/>
        <n v="38919"/>
        <n v="36121"/>
        <n v="66678"/>
        <n v="51409"/>
        <n v="32415"/>
        <n v="24205"/>
        <n v="21010"/>
        <n v="21679"/>
        <n v="14717"/>
        <n v="16778"/>
        <n v="41374"/>
        <n v="39516"/>
        <n v="39585"/>
        <n v="46141"/>
        <n v="48478"/>
        <n v="38741"/>
        <n v="37799"/>
        <n v="30903"/>
        <n v="44620"/>
        <n v="8311"/>
        <n v="16725"/>
        <n v="13533"/>
        <n v="24040"/>
        <n v="15156"/>
        <n v="38765"/>
        <n v="29347"/>
        <n v="12677"/>
        <n v="29935"/>
        <n v="50052"/>
        <n v="37177"/>
        <n v="6100"/>
        <n v="19823"/>
        <n v="12454"/>
        <n v="34429"/>
        <n v="31019"/>
        <n v="40004"/>
        <n v="27920"/>
        <n v="36627"/>
        <n v="48484"/>
        <n v="35759"/>
        <n v="37784"/>
        <n v="23806"/>
        <n v="10072"/>
        <n v="28231"/>
        <n v="22226"/>
        <n v="17034"/>
        <n v="34683"/>
        <n v="42573"/>
        <n v="33705"/>
        <n v="24189"/>
        <n v="48647"/>
        <n v="13781"/>
        <n v="49061"/>
        <n v="44939"/>
        <n v="57852"/>
        <n v="33955"/>
        <n v="39228"/>
        <n v="33549"/>
        <n v="13760"/>
        <n v="24662"/>
        <n v="11736"/>
        <n v="20069"/>
        <n v="22236"/>
        <n v="9084"/>
        <n v="41979"/>
        <n v="28567"/>
        <n v="45555"/>
        <n v="37896"/>
        <n v="46657"/>
        <n v="41379"/>
        <n v="40754"/>
        <n v="22196"/>
        <n v="31109"/>
        <n v="26623"/>
        <n v="28656"/>
        <n v="48652"/>
        <n v="38117"/>
        <n v="37727"/>
        <n v="40762"/>
        <n v="36367"/>
        <n v="17021"/>
        <n v="35720"/>
        <n v="44194"/>
        <n v="44055"/>
        <n v="47505"/>
        <n v="47232"/>
        <n v="28898"/>
        <n v="49982"/>
        <n v="48742"/>
        <n v="19856"/>
        <n v="14656"/>
        <n v="14373"/>
        <n v="20340"/>
        <n v="53220"/>
        <n v="37844"/>
        <n v="21171"/>
        <n v="63960"/>
        <n v="34951"/>
        <n v="14784"/>
        <n v="18441"/>
        <n v="6410"/>
        <n v="30649"/>
        <n v="36343"/>
        <n v="31341"/>
        <n v="49725"/>
        <n v="15112"/>
        <n v="10205"/>
        <n v="14439"/>
        <n v="13806"/>
        <n v="11158"/>
        <n v="19788"/>
        <n v="8504"/>
        <n v="39955"/>
        <n v="27201"/>
        <n v="46841"/>
        <n v="36954"/>
        <n v="56194"/>
        <n v="32426"/>
        <n v="21919"/>
        <n v="14404"/>
        <n v="39397"/>
        <n v="36858"/>
        <n v="28166"/>
        <n v="28876"/>
        <n v="15634"/>
        <n v="22114"/>
        <n v="25589"/>
        <n v="25207"/>
        <n v="25637"/>
        <n v="34988"/>
        <n v="33550"/>
        <n v="33127"/>
        <n v="14214"/>
        <n v="12920"/>
        <n v="16419"/>
        <n v="12220"/>
        <n v="19081"/>
        <n v="36945"/>
        <n v="57215"/>
        <n v="49300"/>
        <n v="42719"/>
        <n v="44373"/>
        <n v="36066"/>
        <n v="39375"/>
        <n v="10753"/>
        <n v="18655"/>
        <n v="22646"/>
        <n v="33952"/>
        <n v="12224"/>
        <n v="46962"/>
        <n v="23013"/>
        <n v="31741"/>
        <n v="31299"/>
        <n v="48055"/>
        <n v="36151"/>
        <n v="31718"/>
        <n v="48262"/>
        <n v="42647"/>
        <n v="41124"/>
        <n v="12296"/>
        <n v="40934"/>
        <n v="23611"/>
        <n v="28578"/>
        <n v="32221"/>
        <n v="42094"/>
        <n v="46180"/>
        <n v="49904"/>
        <n v="12248"/>
        <n v="23404"/>
        <n v="20072"/>
        <n v="10306"/>
        <n v="28516"/>
        <n v="27098"/>
        <n v="27015"/>
        <n v="43148"/>
        <n v="52257"/>
        <n v="33922"/>
        <n v="34205"/>
        <n v="14252"/>
        <n v="23701"/>
        <n v="38349"/>
        <n v="32375"/>
        <n v="32971"/>
        <n v="40507"/>
        <n v="45671"/>
        <n v="32361"/>
        <n v="9622"/>
        <n v="28482"/>
        <n v="20868"/>
        <n v="33828"/>
        <n v="47582"/>
        <n v="40889"/>
        <n v="38132"/>
        <n v="32228"/>
        <n v="30524"/>
        <n v="12554"/>
        <n v="14750"/>
        <n v="13752"/>
        <n v="16178"/>
        <n v="10938"/>
        <n v="18317"/>
        <n v="43168"/>
        <n v="26851"/>
        <n v="52131"/>
        <n v="30481"/>
        <n v="38130"/>
        <n v="53573"/>
        <n v="10677"/>
        <n v="18323"/>
        <n v="6661"/>
        <n v="48150"/>
        <n v="40081"/>
        <n v="48040"/>
        <n v="34667"/>
        <n v="11185"/>
        <n v="29955"/>
        <n v="21659"/>
        <n v="37748"/>
        <n v="12295"/>
        <n v="39654"/>
        <n v="33368"/>
        <n v="29206"/>
        <n v="31938"/>
        <n v="31773"/>
        <n v="12125"/>
        <n v="13182"/>
        <n v="13629"/>
        <n v="12715"/>
        <n v="7594"/>
        <n v="25922"/>
        <n v="9189"/>
        <n v="25143"/>
        <n v="39180"/>
        <n v="13862"/>
        <n v="32118"/>
        <n v="13358"/>
        <n v="14858"/>
        <n v="15158"/>
        <n v="49228"/>
        <n v="8573"/>
        <n v="37997"/>
        <n v="37960"/>
        <n v="40455"/>
        <n v="47538"/>
        <n v="30210"/>
        <n v="48666"/>
        <n v="14816"/>
        <n v="23079"/>
        <n v="27063"/>
        <n v="18470"/>
        <n v="29607"/>
        <n v="31053"/>
        <n v="31119"/>
        <n v="40433"/>
        <n v="24797"/>
        <n v="12570"/>
        <n v="22177"/>
        <n v="45848"/>
        <n v="26694"/>
        <n v="54607"/>
        <n v="40430"/>
        <n v="39915"/>
        <n v="35649"/>
        <n v="35751"/>
        <n v="40866"/>
        <n v="56729"/>
        <n v="49329"/>
        <n v="37140"/>
        <n v="20492"/>
        <n v="17748"/>
        <n v="16657"/>
        <n v="17135"/>
        <n v="24588"/>
        <n v="37100"/>
        <n v="36397"/>
        <n v="47674"/>
        <n v="31163"/>
        <n v="39809"/>
        <n v="23954"/>
        <n v="48536"/>
        <n v="22523"/>
        <n v="32970"/>
        <n v="42035"/>
        <n v="25683"/>
        <n v="44850"/>
        <n v="45634"/>
        <n v="15767"/>
        <n v="6124"/>
        <n v="11564"/>
        <n v="21097"/>
        <n v="28896"/>
        <n v="19984"/>
        <n v="26647"/>
        <n v="36096"/>
        <n v="37552"/>
        <n v="32729"/>
        <n v="41866"/>
        <n v="23112"/>
        <n v="12564"/>
        <n v="25939"/>
        <n v="43193"/>
        <n v="32831"/>
        <n v="46571"/>
        <n v="47660"/>
      </sharedItems>
    </cacheField>
    <cacheField name="N" numFmtId="0" formula=" 1" databaseField="0"/>
    <cacheField name="Дни (Дата сделки)" numFmtId="0" databaseField="0">
      <fieldGroup base="2">
        <rangePr groupBy="days" startDate="2026-01-01T00:00:00" endDate="2026-09-01T00:00:00"/>
        <groupItems count="368">
          <s v="&lt;01.01.2026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01.09.2026"/>
        </groupItems>
      </fieldGroup>
    </cacheField>
    <cacheField name="Месяцы (Дата сделки)" numFmtId="0" databaseField="0">
      <fieldGroup base="2">
        <rangePr groupBy="months" startDate="2026-01-01T00:00:00" endDate="2026-09-01T00:00:00"/>
        <groupItems count="14">
          <s v="&lt;01.01.2026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1.09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Яна" refreshedDate="46301.020737268518" createdVersion="8" refreshedVersion="8" minRefreshableVersion="3" recordCount="237" xr:uid="{F30926BA-006D-4568-BB38-E684809A5F4C}">
  <cacheSource type="worksheet">
    <worksheetSource ref="F1:J238" sheet="ABC_XYZ Клиенты"/>
  </cacheSource>
  <cacheFields count="5">
    <cacheField name="Клиент" numFmtId="0">
      <sharedItems/>
    </cacheField>
    <cacheField name="Вариация" numFmtId="165">
      <sharedItems containsSemiMixedTypes="0" containsString="0" containsNumber="1" minValue="1.1102511517157122E-2" maxValue="1.0234183961485921"/>
    </cacheField>
    <cacheField name="ABC" numFmtId="0">
      <sharedItems count="3">
        <s v="A"/>
        <s v="B"/>
        <s v="C"/>
      </sharedItems>
    </cacheField>
    <cacheField name="XYZ" numFmtId="0">
      <sharedItems count="3">
        <s v="X"/>
        <s v="Y"/>
        <s v="Z"/>
      </sharedItems>
    </cacheField>
    <cacheField name="Сумма" numFmtId="0">
      <sharedItems containsSemiMixedTypes="0" containsString="0" containsNumber="1" containsInteger="1" minValue="52915" maxValue="19502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01">
  <r>
    <x v="0"/>
    <x v="0"/>
    <x v="0"/>
    <x v="0"/>
  </r>
  <r>
    <x v="1"/>
    <x v="1"/>
    <x v="0"/>
    <x v="1"/>
  </r>
  <r>
    <x v="2"/>
    <x v="2"/>
    <x v="0"/>
    <x v="2"/>
  </r>
  <r>
    <x v="2"/>
    <x v="3"/>
    <x v="0"/>
    <x v="3"/>
  </r>
  <r>
    <x v="3"/>
    <x v="4"/>
    <x v="0"/>
    <x v="4"/>
  </r>
  <r>
    <x v="3"/>
    <x v="5"/>
    <x v="0"/>
    <x v="5"/>
  </r>
  <r>
    <x v="3"/>
    <x v="6"/>
    <x v="0"/>
    <x v="6"/>
  </r>
  <r>
    <x v="4"/>
    <x v="7"/>
    <x v="0"/>
    <x v="7"/>
  </r>
  <r>
    <x v="4"/>
    <x v="8"/>
    <x v="0"/>
    <x v="8"/>
  </r>
  <r>
    <x v="4"/>
    <x v="9"/>
    <x v="0"/>
    <x v="9"/>
  </r>
  <r>
    <x v="4"/>
    <x v="10"/>
    <x v="0"/>
    <x v="10"/>
  </r>
  <r>
    <x v="4"/>
    <x v="11"/>
    <x v="0"/>
    <x v="11"/>
  </r>
  <r>
    <x v="4"/>
    <x v="12"/>
    <x v="0"/>
    <x v="12"/>
  </r>
  <r>
    <x v="5"/>
    <x v="13"/>
    <x v="1"/>
    <x v="13"/>
  </r>
  <r>
    <x v="6"/>
    <x v="14"/>
    <x v="1"/>
    <x v="0"/>
  </r>
  <r>
    <x v="7"/>
    <x v="15"/>
    <x v="1"/>
    <x v="14"/>
  </r>
  <r>
    <x v="3"/>
    <x v="16"/>
    <x v="1"/>
    <x v="15"/>
  </r>
  <r>
    <x v="3"/>
    <x v="17"/>
    <x v="1"/>
    <x v="16"/>
  </r>
  <r>
    <x v="4"/>
    <x v="18"/>
    <x v="1"/>
    <x v="17"/>
  </r>
  <r>
    <x v="4"/>
    <x v="19"/>
    <x v="1"/>
    <x v="18"/>
  </r>
  <r>
    <x v="4"/>
    <x v="20"/>
    <x v="1"/>
    <x v="19"/>
  </r>
  <r>
    <x v="4"/>
    <x v="20"/>
    <x v="1"/>
    <x v="20"/>
  </r>
  <r>
    <x v="8"/>
    <x v="21"/>
    <x v="2"/>
    <x v="21"/>
  </r>
  <r>
    <x v="5"/>
    <x v="22"/>
    <x v="2"/>
    <x v="22"/>
  </r>
  <r>
    <x v="9"/>
    <x v="23"/>
    <x v="2"/>
    <x v="23"/>
  </r>
  <r>
    <x v="9"/>
    <x v="24"/>
    <x v="2"/>
    <x v="0"/>
  </r>
  <r>
    <x v="6"/>
    <x v="25"/>
    <x v="2"/>
    <x v="24"/>
  </r>
  <r>
    <x v="6"/>
    <x v="26"/>
    <x v="2"/>
    <x v="25"/>
  </r>
  <r>
    <x v="6"/>
    <x v="27"/>
    <x v="2"/>
    <x v="26"/>
  </r>
  <r>
    <x v="10"/>
    <x v="28"/>
    <x v="2"/>
    <x v="27"/>
  </r>
  <r>
    <x v="11"/>
    <x v="29"/>
    <x v="2"/>
    <x v="28"/>
  </r>
  <r>
    <x v="11"/>
    <x v="30"/>
    <x v="2"/>
    <x v="29"/>
  </r>
  <r>
    <x v="3"/>
    <x v="31"/>
    <x v="2"/>
    <x v="30"/>
  </r>
  <r>
    <x v="3"/>
    <x v="31"/>
    <x v="2"/>
    <x v="31"/>
  </r>
  <r>
    <x v="3"/>
    <x v="32"/>
    <x v="2"/>
    <x v="32"/>
  </r>
  <r>
    <x v="4"/>
    <x v="33"/>
    <x v="2"/>
    <x v="33"/>
  </r>
  <r>
    <x v="4"/>
    <x v="8"/>
    <x v="2"/>
    <x v="34"/>
  </r>
  <r>
    <x v="4"/>
    <x v="34"/>
    <x v="2"/>
    <x v="35"/>
  </r>
  <r>
    <x v="4"/>
    <x v="35"/>
    <x v="2"/>
    <x v="36"/>
  </r>
  <r>
    <x v="4"/>
    <x v="36"/>
    <x v="2"/>
    <x v="37"/>
  </r>
  <r>
    <x v="12"/>
    <x v="37"/>
    <x v="3"/>
    <x v="38"/>
  </r>
  <r>
    <x v="5"/>
    <x v="19"/>
    <x v="3"/>
    <x v="39"/>
  </r>
  <r>
    <x v="0"/>
    <x v="38"/>
    <x v="3"/>
    <x v="40"/>
  </r>
  <r>
    <x v="13"/>
    <x v="39"/>
    <x v="3"/>
    <x v="41"/>
  </r>
  <r>
    <x v="13"/>
    <x v="40"/>
    <x v="3"/>
    <x v="42"/>
  </r>
  <r>
    <x v="2"/>
    <x v="41"/>
    <x v="3"/>
    <x v="43"/>
  </r>
  <r>
    <x v="2"/>
    <x v="42"/>
    <x v="3"/>
    <x v="44"/>
  </r>
  <r>
    <x v="3"/>
    <x v="43"/>
    <x v="3"/>
    <x v="45"/>
  </r>
  <r>
    <x v="3"/>
    <x v="16"/>
    <x v="3"/>
    <x v="46"/>
  </r>
  <r>
    <x v="12"/>
    <x v="44"/>
    <x v="4"/>
    <x v="47"/>
  </r>
  <r>
    <x v="5"/>
    <x v="45"/>
    <x v="4"/>
    <x v="48"/>
  </r>
  <r>
    <x v="2"/>
    <x v="46"/>
    <x v="4"/>
    <x v="49"/>
  </r>
  <r>
    <x v="3"/>
    <x v="47"/>
    <x v="4"/>
    <x v="50"/>
  </r>
  <r>
    <x v="4"/>
    <x v="48"/>
    <x v="4"/>
    <x v="51"/>
  </r>
  <r>
    <x v="4"/>
    <x v="49"/>
    <x v="4"/>
    <x v="52"/>
  </r>
  <r>
    <x v="4"/>
    <x v="50"/>
    <x v="4"/>
    <x v="53"/>
  </r>
  <r>
    <x v="4"/>
    <x v="51"/>
    <x v="4"/>
    <x v="54"/>
  </r>
  <r>
    <x v="5"/>
    <x v="52"/>
    <x v="5"/>
    <x v="55"/>
  </r>
  <r>
    <x v="10"/>
    <x v="53"/>
    <x v="5"/>
    <x v="56"/>
  </r>
  <r>
    <x v="7"/>
    <x v="54"/>
    <x v="5"/>
    <x v="57"/>
  </r>
  <r>
    <x v="14"/>
    <x v="55"/>
    <x v="5"/>
    <x v="58"/>
  </r>
  <r>
    <x v="3"/>
    <x v="56"/>
    <x v="5"/>
    <x v="59"/>
  </r>
  <r>
    <x v="4"/>
    <x v="57"/>
    <x v="5"/>
    <x v="60"/>
  </r>
  <r>
    <x v="4"/>
    <x v="58"/>
    <x v="5"/>
    <x v="61"/>
  </r>
  <r>
    <x v="4"/>
    <x v="59"/>
    <x v="5"/>
    <x v="62"/>
  </r>
  <r>
    <x v="5"/>
    <x v="60"/>
    <x v="6"/>
    <x v="63"/>
  </r>
  <r>
    <x v="10"/>
    <x v="61"/>
    <x v="6"/>
    <x v="64"/>
  </r>
  <r>
    <x v="4"/>
    <x v="62"/>
    <x v="6"/>
    <x v="65"/>
  </r>
  <r>
    <x v="4"/>
    <x v="62"/>
    <x v="6"/>
    <x v="66"/>
  </r>
  <r>
    <x v="4"/>
    <x v="63"/>
    <x v="6"/>
    <x v="67"/>
  </r>
  <r>
    <x v="4"/>
    <x v="51"/>
    <x v="6"/>
    <x v="68"/>
  </r>
  <r>
    <x v="4"/>
    <x v="12"/>
    <x v="6"/>
    <x v="69"/>
  </r>
  <r>
    <x v="5"/>
    <x v="64"/>
    <x v="7"/>
    <x v="70"/>
  </r>
  <r>
    <x v="5"/>
    <x v="65"/>
    <x v="7"/>
    <x v="71"/>
  </r>
  <r>
    <x v="5"/>
    <x v="66"/>
    <x v="7"/>
    <x v="72"/>
  </r>
  <r>
    <x v="0"/>
    <x v="67"/>
    <x v="7"/>
    <x v="73"/>
  </r>
  <r>
    <x v="15"/>
    <x v="68"/>
    <x v="7"/>
    <x v="74"/>
  </r>
  <r>
    <x v="2"/>
    <x v="69"/>
    <x v="7"/>
    <x v="75"/>
  </r>
  <r>
    <x v="2"/>
    <x v="70"/>
    <x v="7"/>
    <x v="76"/>
  </r>
  <r>
    <x v="2"/>
    <x v="71"/>
    <x v="7"/>
    <x v="77"/>
  </r>
  <r>
    <x v="3"/>
    <x v="22"/>
    <x v="7"/>
    <x v="78"/>
  </r>
  <r>
    <x v="3"/>
    <x v="72"/>
    <x v="7"/>
    <x v="79"/>
  </r>
  <r>
    <x v="3"/>
    <x v="73"/>
    <x v="7"/>
    <x v="80"/>
  </r>
  <r>
    <x v="3"/>
    <x v="74"/>
    <x v="7"/>
    <x v="81"/>
  </r>
  <r>
    <x v="4"/>
    <x v="75"/>
    <x v="7"/>
    <x v="82"/>
  </r>
  <r>
    <x v="4"/>
    <x v="76"/>
    <x v="7"/>
    <x v="83"/>
  </r>
  <r>
    <x v="4"/>
    <x v="77"/>
    <x v="7"/>
    <x v="84"/>
  </r>
  <r>
    <x v="4"/>
    <x v="12"/>
    <x v="7"/>
    <x v="85"/>
  </r>
  <r>
    <x v="5"/>
    <x v="78"/>
    <x v="8"/>
    <x v="86"/>
  </r>
  <r>
    <x v="1"/>
    <x v="79"/>
    <x v="8"/>
    <x v="87"/>
  </r>
  <r>
    <x v="10"/>
    <x v="80"/>
    <x v="8"/>
    <x v="88"/>
  </r>
  <r>
    <x v="16"/>
    <x v="81"/>
    <x v="8"/>
    <x v="89"/>
  </r>
  <r>
    <x v="3"/>
    <x v="82"/>
    <x v="8"/>
    <x v="90"/>
  </r>
  <r>
    <x v="4"/>
    <x v="8"/>
    <x v="8"/>
    <x v="91"/>
  </r>
  <r>
    <x v="4"/>
    <x v="18"/>
    <x v="8"/>
    <x v="92"/>
  </r>
  <r>
    <x v="4"/>
    <x v="83"/>
    <x v="8"/>
    <x v="93"/>
  </r>
  <r>
    <x v="4"/>
    <x v="84"/>
    <x v="8"/>
    <x v="94"/>
  </r>
  <r>
    <x v="4"/>
    <x v="10"/>
    <x v="8"/>
    <x v="95"/>
  </r>
  <r>
    <x v="12"/>
    <x v="85"/>
    <x v="9"/>
    <x v="96"/>
  </r>
  <r>
    <x v="5"/>
    <x v="86"/>
    <x v="9"/>
    <x v="97"/>
  </r>
  <r>
    <x v="5"/>
    <x v="87"/>
    <x v="9"/>
    <x v="98"/>
  </r>
  <r>
    <x v="0"/>
    <x v="88"/>
    <x v="9"/>
    <x v="99"/>
  </r>
  <r>
    <x v="15"/>
    <x v="89"/>
    <x v="9"/>
    <x v="100"/>
  </r>
  <r>
    <x v="6"/>
    <x v="90"/>
    <x v="9"/>
    <x v="101"/>
  </r>
  <r>
    <x v="2"/>
    <x v="91"/>
    <x v="9"/>
    <x v="102"/>
  </r>
  <r>
    <x v="2"/>
    <x v="92"/>
    <x v="9"/>
    <x v="103"/>
  </r>
  <r>
    <x v="3"/>
    <x v="93"/>
    <x v="9"/>
    <x v="104"/>
  </r>
  <r>
    <x v="4"/>
    <x v="94"/>
    <x v="9"/>
    <x v="105"/>
  </r>
  <r>
    <x v="4"/>
    <x v="58"/>
    <x v="9"/>
    <x v="106"/>
  </r>
  <r>
    <x v="5"/>
    <x v="95"/>
    <x v="10"/>
    <x v="107"/>
  </r>
  <r>
    <x v="5"/>
    <x v="96"/>
    <x v="10"/>
    <x v="108"/>
  </r>
  <r>
    <x v="5"/>
    <x v="10"/>
    <x v="10"/>
    <x v="109"/>
  </r>
  <r>
    <x v="9"/>
    <x v="97"/>
    <x v="10"/>
    <x v="110"/>
  </r>
  <r>
    <x v="6"/>
    <x v="98"/>
    <x v="10"/>
    <x v="111"/>
  </r>
  <r>
    <x v="1"/>
    <x v="99"/>
    <x v="10"/>
    <x v="112"/>
  </r>
  <r>
    <x v="10"/>
    <x v="100"/>
    <x v="10"/>
    <x v="113"/>
  </r>
  <r>
    <x v="10"/>
    <x v="101"/>
    <x v="10"/>
    <x v="114"/>
  </r>
  <r>
    <x v="10"/>
    <x v="102"/>
    <x v="10"/>
    <x v="111"/>
  </r>
  <r>
    <x v="16"/>
    <x v="103"/>
    <x v="10"/>
    <x v="115"/>
  </r>
  <r>
    <x v="2"/>
    <x v="104"/>
    <x v="10"/>
    <x v="116"/>
  </r>
  <r>
    <x v="2"/>
    <x v="105"/>
    <x v="10"/>
    <x v="117"/>
  </r>
  <r>
    <x v="17"/>
    <x v="106"/>
    <x v="10"/>
    <x v="118"/>
  </r>
  <r>
    <x v="3"/>
    <x v="107"/>
    <x v="10"/>
    <x v="119"/>
  </r>
  <r>
    <x v="3"/>
    <x v="108"/>
    <x v="10"/>
    <x v="120"/>
  </r>
  <r>
    <x v="3"/>
    <x v="109"/>
    <x v="10"/>
    <x v="121"/>
  </r>
  <r>
    <x v="4"/>
    <x v="34"/>
    <x v="10"/>
    <x v="122"/>
  </r>
  <r>
    <x v="4"/>
    <x v="35"/>
    <x v="10"/>
    <x v="123"/>
  </r>
  <r>
    <x v="4"/>
    <x v="110"/>
    <x v="10"/>
    <x v="124"/>
  </r>
  <r>
    <x v="4"/>
    <x v="50"/>
    <x v="10"/>
    <x v="125"/>
  </r>
  <r>
    <x v="4"/>
    <x v="111"/>
    <x v="10"/>
    <x v="126"/>
  </r>
  <r>
    <x v="0"/>
    <x v="112"/>
    <x v="11"/>
    <x v="127"/>
  </r>
  <r>
    <x v="0"/>
    <x v="113"/>
    <x v="11"/>
    <x v="128"/>
  </r>
  <r>
    <x v="7"/>
    <x v="114"/>
    <x v="11"/>
    <x v="129"/>
  </r>
  <r>
    <x v="2"/>
    <x v="115"/>
    <x v="11"/>
    <x v="130"/>
  </r>
  <r>
    <x v="3"/>
    <x v="116"/>
    <x v="11"/>
    <x v="131"/>
  </r>
  <r>
    <x v="3"/>
    <x v="47"/>
    <x v="11"/>
    <x v="132"/>
  </r>
  <r>
    <x v="4"/>
    <x v="75"/>
    <x v="11"/>
    <x v="133"/>
  </r>
  <r>
    <x v="4"/>
    <x v="57"/>
    <x v="11"/>
    <x v="134"/>
  </r>
  <r>
    <x v="4"/>
    <x v="117"/>
    <x v="11"/>
    <x v="135"/>
  </r>
  <r>
    <x v="4"/>
    <x v="118"/>
    <x v="11"/>
    <x v="136"/>
  </r>
  <r>
    <x v="4"/>
    <x v="77"/>
    <x v="11"/>
    <x v="137"/>
  </r>
  <r>
    <x v="4"/>
    <x v="119"/>
    <x v="11"/>
    <x v="138"/>
  </r>
  <r>
    <x v="4"/>
    <x v="120"/>
    <x v="11"/>
    <x v="139"/>
  </r>
  <r>
    <x v="4"/>
    <x v="121"/>
    <x v="11"/>
    <x v="140"/>
  </r>
  <r>
    <x v="0"/>
    <x v="122"/>
    <x v="12"/>
    <x v="141"/>
  </r>
  <r>
    <x v="10"/>
    <x v="123"/>
    <x v="12"/>
    <x v="142"/>
  </r>
  <r>
    <x v="10"/>
    <x v="124"/>
    <x v="12"/>
    <x v="143"/>
  </r>
  <r>
    <x v="10"/>
    <x v="125"/>
    <x v="12"/>
    <x v="144"/>
  </r>
  <r>
    <x v="7"/>
    <x v="126"/>
    <x v="12"/>
    <x v="145"/>
  </r>
  <r>
    <x v="14"/>
    <x v="127"/>
    <x v="12"/>
    <x v="146"/>
  </r>
  <r>
    <x v="3"/>
    <x v="128"/>
    <x v="12"/>
    <x v="147"/>
  </r>
  <r>
    <x v="4"/>
    <x v="8"/>
    <x v="12"/>
    <x v="148"/>
  </r>
  <r>
    <x v="4"/>
    <x v="76"/>
    <x v="12"/>
    <x v="149"/>
  </r>
  <r>
    <x v="4"/>
    <x v="18"/>
    <x v="12"/>
    <x v="150"/>
  </r>
  <r>
    <x v="4"/>
    <x v="129"/>
    <x v="12"/>
    <x v="151"/>
  </r>
  <r>
    <x v="4"/>
    <x v="110"/>
    <x v="12"/>
    <x v="152"/>
  </r>
  <r>
    <x v="4"/>
    <x v="36"/>
    <x v="12"/>
    <x v="153"/>
  </r>
  <r>
    <x v="4"/>
    <x v="50"/>
    <x v="12"/>
    <x v="154"/>
  </r>
  <r>
    <x v="4"/>
    <x v="59"/>
    <x v="12"/>
    <x v="155"/>
  </r>
  <r>
    <x v="4"/>
    <x v="51"/>
    <x v="12"/>
    <x v="156"/>
  </r>
  <r>
    <x v="4"/>
    <x v="12"/>
    <x v="12"/>
    <x v="157"/>
  </r>
  <r>
    <x v="5"/>
    <x v="130"/>
    <x v="13"/>
    <x v="158"/>
  </r>
  <r>
    <x v="5"/>
    <x v="121"/>
    <x v="13"/>
    <x v="159"/>
  </r>
  <r>
    <x v="6"/>
    <x v="131"/>
    <x v="13"/>
    <x v="160"/>
  </r>
  <r>
    <x v="7"/>
    <x v="132"/>
    <x v="13"/>
    <x v="161"/>
  </r>
  <r>
    <x v="3"/>
    <x v="133"/>
    <x v="13"/>
    <x v="162"/>
  </r>
  <r>
    <x v="3"/>
    <x v="134"/>
    <x v="13"/>
    <x v="163"/>
  </r>
  <r>
    <x v="4"/>
    <x v="18"/>
    <x v="13"/>
    <x v="164"/>
  </r>
  <r>
    <x v="4"/>
    <x v="94"/>
    <x v="13"/>
    <x v="165"/>
  </r>
  <r>
    <x v="5"/>
    <x v="82"/>
    <x v="14"/>
    <x v="166"/>
  </r>
  <r>
    <x v="5"/>
    <x v="135"/>
    <x v="14"/>
    <x v="167"/>
  </r>
  <r>
    <x v="5"/>
    <x v="120"/>
    <x v="14"/>
    <x v="168"/>
  </r>
  <r>
    <x v="5"/>
    <x v="136"/>
    <x v="14"/>
    <x v="169"/>
  </r>
  <r>
    <x v="1"/>
    <x v="137"/>
    <x v="14"/>
    <x v="170"/>
  </r>
  <r>
    <x v="14"/>
    <x v="138"/>
    <x v="14"/>
    <x v="171"/>
  </r>
  <r>
    <x v="3"/>
    <x v="139"/>
    <x v="14"/>
    <x v="172"/>
  </r>
  <r>
    <x v="4"/>
    <x v="18"/>
    <x v="14"/>
    <x v="173"/>
  </r>
  <r>
    <x v="4"/>
    <x v="117"/>
    <x v="14"/>
    <x v="174"/>
  </r>
  <r>
    <x v="4"/>
    <x v="77"/>
    <x v="14"/>
    <x v="175"/>
  </r>
  <r>
    <x v="4"/>
    <x v="140"/>
    <x v="14"/>
    <x v="176"/>
  </r>
  <r>
    <x v="4"/>
    <x v="141"/>
    <x v="14"/>
    <x v="177"/>
  </r>
  <r>
    <x v="12"/>
    <x v="142"/>
    <x v="15"/>
    <x v="178"/>
  </r>
  <r>
    <x v="0"/>
    <x v="143"/>
    <x v="15"/>
    <x v="179"/>
  </r>
  <r>
    <x v="15"/>
    <x v="144"/>
    <x v="15"/>
    <x v="180"/>
  </r>
  <r>
    <x v="10"/>
    <x v="145"/>
    <x v="15"/>
    <x v="181"/>
  </r>
  <r>
    <x v="2"/>
    <x v="146"/>
    <x v="15"/>
    <x v="182"/>
  </r>
  <r>
    <x v="3"/>
    <x v="147"/>
    <x v="15"/>
    <x v="183"/>
  </r>
  <r>
    <x v="3"/>
    <x v="133"/>
    <x v="15"/>
    <x v="184"/>
  </r>
  <r>
    <x v="3"/>
    <x v="148"/>
    <x v="15"/>
    <x v="185"/>
  </r>
  <r>
    <x v="4"/>
    <x v="19"/>
    <x v="15"/>
    <x v="83"/>
  </r>
  <r>
    <x v="5"/>
    <x v="149"/>
    <x v="16"/>
    <x v="186"/>
  </r>
  <r>
    <x v="0"/>
    <x v="150"/>
    <x v="16"/>
    <x v="187"/>
  </r>
  <r>
    <x v="6"/>
    <x v="151"/>
    <x v="16"/>
    <x v="188"/>
  </r>
  <r>
    <x v="3"/>
    <x v="57"/>
    <x v="16"/>
    <x v="189"/>
  </r>
  <r>
    <x v="3"/>
    <x v="147"/>
    <x v="16"/>
    <x v="190"/>
  </r>
  <r>
    <x v="3"/>
    <x v="17"/>
    <x v="16"/>
    <x v="191"/>
  </r>
  <r>
    <x v="3"/>
    <x v="152"/>
    <x v="16"/>
    <x v="192"/>
  </r>
  <r>
    <x v="3"/>
    <x v="74"/>
    <x v="16"/>
    <x v="193"/>
  </r>
  <r>
    <x v="4"/>
    <x v="75"/>
    <x v="16"/>
    <x v="194"/>
  </r>
  <r>
    <x v="4"/>
    <x v="153"/>
    <x v="16"/>
    <x v="195"/>
  </r>
  <r>
    <x v="4"/>
    <x v="63"/>
    <x v="16"/>
    <x v="196"/>
  </r>
  <r>
    <x v="4"/>
    <x v="121"/>
    <x v="16"/>
    <x v="197"/>
  </r>
  <r>
    <x v="12"/>
    <x v="154"/>
    <x v="17"/>
    <x v="198"/>
  </r>
  <r>
    <x v="18"/>
    <x v="155"/>
    <x v="17"/>
    <x v="199"/>
  </r>
  <r>
    <x v="5"/>
    <x v="156"/>
    <x v="17"/>
    <x v="200"/>
  </r>
  <r>
    <x v="5"/>
    <x v="157"/>
    <x v="17"/>
    <x v="201"/>
  </r>
  <r>
    <x v="15"/>
    <x v="158"/>
    <x v="17"/>
    <x v="202"/>
  </r>
  <r>
    <x v="6"/>
    <x v="159"/>
    <x v="17"/>
    <x v="203"/>
  </r>
  <r>
    <x v="6"/>
    <x v="160"/>
    <x v="17"/>
    <x v="204"/>
  </r>
  <r>
    <x v="7"/>
    <x v="161"/>
    <x v="17"/>
    <x v="205"/>
  </r>
  <r>
    <x v="2"/>
    <x v="162"/>
    <x v="17"/>
    <x v="206"/>
  </r>
  <r>
    <x v="2"/>
    <x v="163"/>
    <x v="17"/>
    <x v="207"/>
  </r>
  <r>
    <x v="2"/>
    <x v="164"/>
    <x v="17"/>
    <x v="208"/>
  </r>
  <r>
    <x v="3"/>
    <x v="165"/>
    <x v="17"/>
    <x v="209"/>
  </r>
  <r>
    <x v="3"/>
    <x v="108"/>
    <x v="17"/>
    <x v="210"/>
  </r>
  <r>
    <x v="3"/>
    <x v="166"/>
    <x v="17"/>
    <x v="211"/>
  </r>
  <r>
    <x v="4"/>
    <x v="167"/>
    <x v="17"/>
    <x v="212"/>
  </r>
  <r>
    <x v="4"/>
    <x v="35"/>
    <x v="17"/>
    <x v="213"/>
  </r>
  <r>
    <x v="4"/>
    <x v="120"/>
    <x v="17"/>
    <x v="214"/>
  </r>
  <r>
    <x v="4"/>
    <x v="121"/>
    <x v="17"/>
    <x v="215"/>
  </r>
  <r>
    <x v="5"/>
    <x v="168"/>
    <x v="18"/>
    <x v="216"/>
  </r>
  <r>
    <x v="6"/>
    <x v="169"/>
    <x v="18"/>
    <x v="217"/>
  </r>
  <r>
    <x v="10"/>
    <x v="170"/>
    <x v="18"/>
    <x v="218"/>
  </r>
  <r>
    <x v="7"/>
    <x v="171"/>
    <x v="18"/>
    <x v="219"/>
  </r>
  <r>
    <x v="14"/>
    <x v="172"/>
    <x v="18"/>
    <x v="220"/>
  </r>
  <r>
    <x v="3"/>
    <x v="4"/>
    <x v="18"/>
    <x v="221"/>
  </r>
  <r>
    <x v="3"/>
    <x v="73"/>
    <x v="18"/>
    <x v="222"/>
  </r>
  <r>
    <x v="4"/>
    <x v="8"/>
    <x v="18"/>
    <x v="223"/>
  </r>
  <r>
    <x v="4"/>
    <x v="8"/>
    <x v="18"/>
    <x v="224"/>
  </r>
  <r>
    <x v="4"/>
    <x v="173"/>
    <x v="18"/>
    <x v="225"/>
  </r>
  <r>
    <x v="4"/>
    <x v="58"/>
    <x v="18"/>
    <x v="226"/>
  </r>
  <r>
    <x v="4"/>
    <x v="77"/>
    <x v="18"/>
    <x v="227"/>
  </r>
  <r>
    <x v="4"/>
    <x v="59"/>
    <x v="18"/>
    <x v="228"/>
  </r>
  <r>
    <x v="4"/>
    <x v="152"/>
    <x v="18"/>
    <x v="229"/>
  </r>
  <r>
    <x v="5"/>
    <x v="174"/>
    <x v="19"/>
    <x v="230"/>
  </r>
  <r>
    <x v="10"/>
    <x v="175"/>
    <x v="19"/>
    <x v="231"/>
  </r>
  <r>
    <x v="7"/>
    <x v="176"/>
    <x v="19"/>
    <x v="232"/>
  </r>
  <r>
    <x v="3"/>
    <x v="109"/>
    <x v="19"/>
    <x v="233"/>
  </r>
  <r>
    <x v="4"/>
    <x v="76"/>
    <x v="19"/>
    <x v="234"/>
  </r>
  <r>
    <x v="4"/>
    <x v="18"/>
    <x v="19"/>
    <x v="235"/>
  </r>
  <r>
    <x v="4"/>
    <x v="83"/>
    <x v="19"/>
    <x v="236"/>
  </r>
  <r>
    <x v="4"/>
    <x v="173"/>
    <x v="19"/>
    <x v="237"/>
  </r>
  <r>
    <x v="4"/>
    <x v="50"/>
    <x v="19"/>
    <x v="238"/>
  </r>
  <r>
    <x v="5"/>
    <x v="177"/>
    <x v="20"/>
    <x v="239"/>
  </r>
  <r>
    <x v="5"/>
    <x v="178"/>
    <x v="20"/>
    <x v="240"/>
  </r>
  <r>
    <x v="5"/>
    <x v="168"/>
    <x v="20"/>
    <x v="241"/>
  </r>
  <r>
    <x v="5"/>
    <x v="9"/>
    <x v="20"/>
    <x v="242"/>
  </r>
  <r>
    <x v="9"/>
    <x v="179"/>
    <x v="20"/>
    <x v="243"/>
  </r>
  <r>
    <x v="15"/>
    <x v="180"/>
    <x v="20"/>
    <x v="0"/>
  </r>
  <r>
    <x v="3"/>
    <x v="139"/>
    <x v="20"/>
    <x v="244"/>
  </r>
  <r>
    <x v="4"/>
    <x v="118"/>
    <x v="20"/>
    <x v="245"/>
  </r>
  <r>
    <x v="4"/>
    <x v="152"/>
    <x v="20"/>
    <x v="246"/>
  </r>
  <r>
    <x v="4"/>
    <x v="152"/>
    <x v="20"/>
    <x v="247"/>
  </r>
  <r>
    <x v="12"/>
    <x v="181"/>
    <x v="21"/>
    <x v="248"/>
  </r>
  <r>
    <x v="5"/>
    <x v="182"/>
    <x v="21"/>
    <x v="249"/>
  </r>
  <r>
    <x v="0"/>
    <x v="183"/>
    <x v="21"/>
    <x v="250"/>
  </r>
  <r>
    <x v="10"/>
    <x v="184"/>
    <x v="21"/>
    <x v="251"/>
  </r>
  <r>
    <x v="7"/>
    <x v="185"/>
    <x v="21"/>
    <x v="252"/>
  </r>
  <r>
    <x v="7"/>
    <x v="186"/>
    <x v="21"/>
    <x v="253"/>
  </r>
  <r>
    <x v="13"/>
    <x v="187"/>
    <x v="21"/>
    <x v="254"/>
  </r>
  <r>
    <x v="2"/>
    <x v="188"/>
    <x v="21"/>
    <x v="255"/>
  </r>
  <r>
    <x v="3"/>
    <x v="116"/>
    <x v="21"/>
    <x v="256"/>
  </r>
  <r>
    <x v="4"/>
    <x v="118"/>
    <x v="21"/>
    <x v="257"/>
  </r>
  <r>
    <x v="4"/>
    <x v="49"/>
    <x v="21"/>
    <x v="258"/>
  </r>
  <r>
    <x v="4"/>
    <x v="141"/>
    <x v="21"/>
    <x v="259"/>
  </r>
  <r>
    <x v="8"/>
    <x v="189"/>
    <x v="22"/>
    <x v="260"/>
  </r>
  <r>
    <x v="12"/>
    <x v="190"/>
    <x v="22"/>
    <x v="261"/>
  </r>
  <r>
    <x v="10"/>
    <x v="191"/>
    <x v="22"/>
    <x v="262"/>
  </r>
  <r>
    <x v="7"/>
    <x v="192"/>
    <x v="22"/>
    <x v="263"/>
  </r>
  <r>
    <x v="2"/>
    <x v="41"/>
    <x v="22"/>
    <x v="264"/>
  </r>
  <r>
    <x v="3"/>
    <x v="74"/>
    <x v="22"/>
    <x v="265"/>
  </r>
  <r>
    <x v="4"/>
    <x v="18"/>
    <x v="22"/>
    <x v="266"/>
  </r>
  <r>
    <x v="4"/>
    <x v="34"/>
    <x v="22"/>
    <x v="267"/>
  </r>
  <r>
    <x v="4"/>
    <x v="94"/>
    <x v="22"/>
    <x v="268"/>
  </r>
  <r>
    <x v="5"/>
    <x v="45"/>
    <x v="23"/>
    <x v="269"/>
  </r>
  <r>
    <x v="5"/>
    <x v="193"/>
    <x v="23"/>
    <x v="270"/>
  </r>
  <r>
    <x v="0"/>
    <x v="194"/>
    <x v="23"/>
    <x v="0"/>
  </r>
  <r>
    <x v="6"/>
    <x v="195"/>
    <x v="23"/>
    <x v="271"/>
  </r>
  <r>
    <x v="10"/>
    <x v="196"/>
    <x v="23"/>
    <x v="272"/>
  </r>
  <r>
    <x v="14"/>
    <x v="197"/>
    <x v="23"/>
    <x v="273"/>
  </r>
  <r>
    <x v="3"/>
    <x v="6"/>
    <x v="23"/>
    <x v="274"/>
  </r>
  <r>
    <x v="4"/>
    <x v="7"/>
    <x v="23"/>
    <x v="275"/>
  </r>
  <r>
    <x v="4"/>
    <x v="82"/>
    <x v="23"/>
    <x v="276"/>
  </r>
  <r>
    <x v="4"/>
    <x v="110"/>
    <x v="23"/>
    <x v="277"/>
  </r>
  <r>
    <x v="4"/>
    <x v="36"/>
    <x v="23"/>
    <x v="278"/>
  </r>
  <r>
    <x v="9"/>
    <x v="198"/>
    <x v="24"/>
    <x v="279"/>
  </r>
  <r>
    <x v="7"/>
    <x v="199"/>
    <x v="24"/>
    <x v="280"/>
  </r>
  <r>
    <x v="7"/>
    <x v="200"/>
    <x v="24"/>
    <x v="281"/>
  </r>
  <r>
    <x v="3"/>
    <x v="17"/>
    <x v="24"/>
    <x v="282"/>
  </r>
  <r>
    <x v="3"/>
    <x v="6"/>
    <x v="24"/>
    <x v="283"/>
  </r>
  <r>
    <x v="4"/>
    <x v="57"/>
    <x v="24"/>
    <x v="284"/>
  </r>
  <r>
    <x v="4"/>
    <x v="173"/>
    <x v="24"/>
    <x v="285"/>
  </r>
  <r>
    <x v="4"/>
    <x v="201"/>
    <x v="24"/>
    <x v="286"/>
  </r>
  <r>
    <x v="5"/>
    <x v="202"/>
    <x v="25"/>
    <x v="287"/>
  </r>
  <r>
    <x v="6"/>
    <x v="203"/>
    <x v="25"/>
    <x v="288"/>
  </r>
  <r>
    <x v="1"/>
    <x v="204"/>
    <x v="25"/>
    <x v="289"/>
  </r>
  <r>
    <x v="7"/>
    <x v="205"/>
    <x v="25"/>
    <x v="290"/>
  </r>
  <r>
    <x v="14"/>
    <x v="206"/>
    <x v="25"/>
    <x v="291"/>
  </r>
  <r>
    <x v="2"/>
    <x v="207"/>
    <x v="25"/>
    <x v="292"/>
  </r>
  <r>
    <x v="4"/>
    <x v="7"/>
    <x v="25"/>
    <x v="293"/>
  </r>
  <r>
    <x v="4"/>
    <x v="62"/>
    <x v="25"/>
    <x v="294"/>
  </r>
  <r>
    <x v="4"/>
    <x v="12"/>
    <x v="25"/>
    <x v="295"/>
  </r>
  <r>
    <x v="5"/>
    <x v="140"/>
    <x v="26"/>
    <x v="296"/>
  </r>
  <r>
    <x v="5"/>
    <x v="208"/>
    <x v="26"/>
    <x v="297"/>
  </r>
  <r>
    <x v="2"/>
    <x v="209"/>
    <x v="26"/>
    <x v="298"/>
  </r>
  <r>
    <x v="2"/>
    <x v="210"/>
    <x v="26"/>
    <x v="299"/>
  </r>
  <r>
    <x v="3"/>
    <x v="211"/>
    <x v="26"/>
    <x v="235"/>
  </r>
  <r>
    <x v="4"/>
    <x v="48"/>
    <x v="26"/>
    <x v="300"/>
  </r>
  <r>
    <x v="4"/>
    <x v="35"/>
    <x v="26"/>
    <x v="301"/>
  </r>
  <r>
    <x v="4"/>
    <x v="110"/>
    <x v="26"/>
    <x v="302"/>
  </r>
  <r>
    <x v="4"/>
    <x v="141"/>
    <x v="26"/>
    <x v="303"/>
  </r>
  <r>
    <x v="11"/>
    <x v="212"/>
    <x v="27"/>
    <x v="304"/>
  </r>
  <r>
    <x v="7"/>
    <x v="213"/>
    <x v="27"/>
    <x v="305"/>
  </r>
  <r>
    <x v="2"/>
    <x v="214"/>
    <x v="27"/>
    <x v="306"/>
  </r>
  <r>
    <x v="3"/>
    <x v="43"/>
    <x v="27"/>
    <x v="307"/>
  </r>
  <r>
    <x v="3"/>
    <x v="5"/>
    <x v="27"/>
    <x v="308"/>
  </r>
  <r>
    <x v="4"/>
    <x v="8"/>
    <x v="27"/>
    <x v="309"/>
  </r>
  <r>
    <x v="4"/>
    <x v="82"/>
    <x v="27"/>
    <x v="310"/>
  </r>
  <r>
    <x v="4"/>
    <x v="34"/>
    <x v="27"/>
    <x v="311"/>
  </r>
  <r>
    <x v="4"/>
    <x v="35"/>
    <x v="27"/>
    <x v="312"/>
  </r>
  <r>
    <x v="4"/>
    <x v="215"/>
    <x v="27"/>
    <x v="313"/>
  </r>
  <r>
    <x v="0"/>
    <x v="216"/>
    <x v="28"/>
    <x v="314"/>
  </r>
  <r>
    <x v="7"/>
    <x v="217"/>
    <x v="28"/>
    <x v="315"/>
  </r>
  <r>
    <x v="14"/>
    <x v="218"/>
    <x v="28"/>
    <x v="316"/>
  </r>
  <r>
    <x v="3"/>
    <x v="219"/>
    <x v="28"/>
    <x v="317"/>
  </r>
  <r>
    <x v="4"/>
    <x v="167"/>
    <x v="28"/>
    <x v="318"/>
  </r>
  <r>
    <x v="4"/>
    <x v="62"/>
    <x v="28"/>
    <x v="319"/>
  </r>
  <r>
    <x v="4"/>
    <x v="58"/>
    <x v="28"/>
    <x v="320"/>
  </r>
  <r>
    <x v="4"/>
    <x v="10"/>
    <x v="28"/>
    <x v="321"/>
  </r>
  <r>
    <x v="5"/>
    <x v="220"/>
    <x v="29"/>
    <x v="322"/>
  </r>
  <r>
    <x v="5"/>
    <x v="12"/>
    <x v="29"/>
    <x v="323"/>
  </r>
  <r>
    <x v="15"/>
    <x v="221"/>
    <x v="29"/>
    <x v="324"/>
  </r>
  <r>
    <x v="1"/>
    <x v="222"/>
    <x v="29"/>
    <x v="325"/>
  </r>
  <r>
    <x v="7"/>
    <x v="223"/>
    <x v="29"/>
    <x v="326"/>
  </r>
  <r>
    <x v="14"/>
    <x v="224"/>
    <x v="29"/>
    <x v="327"/>
  </r>
  <r>
    <x v="2"/>
    <x v="225"/>
    <x v="29"/>
    <x v="328"/>
  </r>
  <r>
    <x v="3"/>
    <x v="133"/>
    <x v="29"/>
    <x v="329"/>
  </r>
  <r>
    <x v="3"/>
    <x v="226"/>
    <x v="29"/>
    <x v="330"/>
  </r>
  <r>
    <x v="3"/>
    <x v="20"/>
    <x v="29"/>
    <x v="331"/>
  </r>
  <r>
    <x v="4"/>
    <x v="82"/>
    <x v="29"/>
    <x v="332"/>
  </r>
  <r>
    <x v="4"/>
    <x v="227"/>
    <x v="29"/>
    <x v="333"/>
  </r>
  <r>
    <x v="4"/>
    <x v="84"/>
    <x v="29"/>
    <x v="334"/>
  </r>
  <r>
    <x v="4"/>
    <x v="111"/>
    <x v="29"/>
    <x v="335"/>
  </r>
  <r>
    <x v="4"/>
    <x v="111"/>
    <x v="29"/>
    <x v="336"/>
  </r>
  <r>
    <x v="5"/>
    <x v="18"/>
    <x v="30"/>
    <x v="337"/>
  </r>
  <r>
    <x v="5"/>
    <x v="228"/>
    <x v="30"/>
    <x v="338"/>
  </r>
  <r>
    <x v="9"/>
    <x v="229"/>
    <x v="30"/>
    <x v="339"/>
  </r>
  <r>
    <x v="19"/>
    <x v="230"/>
    <x v="30"/>
    <x v="340"/>
  </r>
  <r>
    <x v="11"/>
    <x v="231"/>
    <x v="30"/>
    <x v="341"/>
  </r>
  <r>
    <x v="14"/>
    <x v="232"/>
    <x v="30"/>
    <x v="342"/>
  </r>
  <r>
    <x v="2"/>
    <x v="233"/>
    <x v="30"/>
    <x v="343"/>
  </r>
  <r>
    <x v="3"/>
    <x v="234"/>
    <x v="30"/>
    <x v="344"/>
  </r>
  <r>
    <x v="3"/>
    <x v="128"/>
    <x v="30"/>
    <x v="345"/>
  </r>
  <r>
    <x v="3"/>
    <x v="235"/>
    <x v="30"/>
    <x v="346"/>
  </r>
  <r>
    <x v="3"/>
    <x v="236"/>
    <x v="30"/>
    <x v="347"/>
  </r>
  <r>
    <x v="4"/>
    <x v="227"/>
    <x v="30"/>
    <x v="348"/>
  </r>
  <r>
    <x v="4"/>
    <x v="140"/>
    <x v="30"/>
    <x v="349"/>
  </r>
  <r>
    <x v="4"/>
    <x v="9"/>
    <x v="30"/>
    <x v="350"/>
  </r>
  <r>
    <x v="4"/>
    <x v="201"/>
    <x v="30"/>
    <x v="351"/>
  </r>
  <r>
    <x v="4"/>
    <x v="11"/>
    <x v="30"/>
    <x v="352"/>
  </r>
  <r>
    <x v="8"/>
    <x v="40"/>
    <x v="31"/>
    <x v="353"/>
  </r>
  <r>
    <x v="9"/>
    <x v="229"/>
    <x v="31"/>
    <x v="354"/>
  </r>
  <r>
    <x v="9"/>
    <x v="179"/>
    <x v="31"/>
    <x v="355"/>
  </r>
  <r>
    <x v="10"/>
    <x v="100"/>
    <x v="31"/>
    <x v="356"/>
  </r>
  <r>
    <x v="10"/>
    <x v="123"/>
    <x v="31"/>
    <x v="357"/>
  </r>
  <r>
    <x v="10"/>
    <x v="80"/>
    <x v="31"/>
    <x v="358"/>
  </r>
  <r>
    <x v="2"/>
    <x v="209"/>
    <x v="31"/>
    <x v="359"/>
  </r>
  <r>
    <x v="2"/>
    <x v="105"/>
    <x v="31"/>
    <x v="360"/>
  </r>
  <r>
    <x v="3"/>
    <x v="33"/>
    <x v="31"/>
    <x v="361"/>
  </r>
  <r>
    <x v="3"/>
    <x v="33"/>
    <x v="31"/>
    <x v="362"/>
  </r>
  <r>
    <x v="4"/>
    <x v="57"/>
    <x v="31"/>
    <x v="363"/>
  </r>
  <r>
    <x v="4"/>
    <x v="215"/>
    <x v="31"/>
    <x v="364"/>
  </r>
  <r>
    <x v="4"/>
    <x v="215"/>
    <x v="31"/>
    <x v="365"/>
  </r>
  <r>
    <x v="4"/>
    <x v="173"/>
    <x v="31"/>
    <x v="366"/>
  </r>
  <r>
    <x v="4"/>
    <x v="36"/>
    <x v="31"/>
    <x v="367"/>
  </r>
  <r>
    <x v="4"/>
    <x v="111"/>
    <x v="31"/>
    <x v="368"/>
  </r>
  <r>
    <x v="5"/>
    <x v="64"/>
    <x v="32"/>
    <x v="369"/>
  </r>
  <r>
    <x v="0"/>
    <x v="183"/>
    <x v="32"/>
    <x v="370"/>
  </r>
  <r>
    <x v="10"/>
    <x v="170"/>
    <x v="32"/>
    <x v="371"/>
  </r>
  <r>
    <x v="10"/>
    <x v="61"/>
    <x v="32"/>
    <x v="372"/>
  </r>
  <r>
    <x v="7"/>
    <x v="205"/>
    <x v="32"/>
    <x v="373"/>
  </r>
  <r>
    <x v="14"/>
    <x v="55"/>
    <x v="32"/>
    <x v="374"/>
  </r>
  <r>
    <x v="2"/>
    <x v="69"/>
    <x v="32"/>
    <x v="375"/>
  </r>
  <r>
    <x v="2"/>
    <x v="41"/>
    <x v="32"/>
    <x v="64"/>
  </r>
  <r>
    <x v="3"/>
    <x v="139"/>
    <x v="32"/>
    <x v="376"/>
  </r>
  <r>
    <x v="4"/>
    <x v="82"/>
    <x v="32"/>
    <x v="377"/>
  </r>
  <r>
    <x v="4"/>
    <x v="140"/>
    <x v="32"/>
    <x v="378"/>
  </r>
  <r>
    <x v="4"/>
    <x v="51"/>
    <x v="32"/>
    <x v="379"/>
  </r>
  <r>
    <x v="4"/>
    <x v="111"/>
    <x v="32"/>
    <x v="380"/>
  </r>
  <r>
    <x v="4"/>
    <x v="10"/>
    <x v="32"/>
    <x v="381"/>
  </r>
  <r>
    <x v="5"/>
    <x v="174"/>
    <x v="33"/>
    <x v="382"/>
  </r>
  <r>
    <x v="0"/>
    <x v="122"/>
    <x v="33"/>
    <x v="383"/>
  </r>
  <r>
    <x v="6"/>
    <x v="98"/>
    <x v="33"/>
    <x v="384"/>
  </r>
  <r>
    <x v="7"/>
    <x v="161"/>
    <x v="33"/>
    <x v="385"/>
  </r>
  <r>
    <x v="14"/>
    <x v="138"/>
    <x v="33"/>
    <x v="386"/>
  </r>
  <r>
    <x v="3"/>
    <x v="219"/>
    <x v="33"/>
    <x v="387"/>
  </r>
  <r>
    <x v="3"/>
    <x v="108"/>
    <x v="33"/>
    <x v="388"/>
  </r>
  <r>
    <x v="3"/>
    <x v="73"/>
    <x v="33"/>
    <x v="389"/>
  </r>
  <r>
    <x v="3"/>
    <x v="166"/>
    <x v="33"/>
    <x v="390"/>
  </r>
  <r>
    <x v="4"/>
    <x v="83"/>
    <x v="33"/>
    <x v="391"/>
  </r>
  <r>
    <x v="4"/>
    <x v="51"/>
    <x v="33"/>
    <x v="392"/>
  </r>
  <r>
    <x v="6"/>
    <x v="14"/>
    <x v="34"/>
    <x v="0"/>
  </r>
  <r>
    <x v="10"/>
    <x v="53"/>
    <x v="34"/>
    <x v="393"/>
  </r>
  <r>
    <x v="10"/>
    <x v="196"/>
    <x v="34"/>
    <x v="394"/>
  </r>
  <r>
    <x v="11"/>
    <x v="212"/>
    <x v="34"/>
    <x v="395"/>
  </r>
  <r>
    <x v="7"/>
    <x v="217"/>
    <x v="34"/>
    <x v="396"/>
  </r>
  <r>
    <x v="2"/>
    <x v="210"/>
    <x v="34"/>
    <x v="397"/>
  </r>
  <r>
    <x v="17"/>
    <x v="106"/>
    <x v="34"/>
    <x v="398"/>
  </r>
  <r>
    <x v="3"/>
    <x v="219"/>
    <x v="34"/>
    <x v="399"/>
  </r>
  <r>
    <x v="3"/>
    <x v="235"/>
    <x v="34"/>
    <x v="400"/>
  </r>
  <r>
    <x v="4"/>
    <x v="34"/>
    <x v="34"/>
    <x v="401"/>
  </r>
  <r>
    <x v="4"/>
    <x v="227"/>
    <x v="34"/>
    <x v="402"/>
  </r>
  <r>
    <x v="4"/>
    <x v="77"/>
    <x v="34"/>
    <x v="403"/>
  </r>
  <r>
    <x v="4"/>
    <x v="140"/>
    <x v="34"/>
    <x v="404"/>
  </r>
  <r>
    <x v="4"/>
    <x v="63"/>
    <x v="34"/>
    <x v="405"/>
  </r>
  <r>
    <x v="4"/>
    <x v="201"/>
    <x v="34"/>
    <x v="406"/>
  </r>
  <r>
    <x v="4"/>
    <x v="201"/>
    <x v="34"/>
    <x v="407"/>
  </r>
  <r>
    <x v="4"/>
    <x v="120"/>
    <x v="34"/>
    <x v="408"/>
  </r>
  <r>
    <x v="5"/>
    <x v="4"/>
    <x v="35"/>
    <x v="409"/>
  </r>
  <r>
    <x v="5"/>
    <x v="45"/>
    <x v="35"/>
    <x v="410"/>
  </r>
  <r>
    <x v="5"/>
    <x v="13"/>
    <x v="35"/>
    <x v="411"/>
  </r>
  <r>
    <x v="0"/>
    <x v="88"/>
    <x v="35"/>
    <x v="412"/>
  </r>
  <r>
    <x v="3"/>
    <x v="31"/>
    <x v="35"/>
    <x v="413"/>
  </r>
  <r>
    <x v="4"/>
    <x v="57"/>
    <x v="35"/>
    <x v="414"/>
  </r>
  <r>
    <x v="4"/>
    <x v="18"/>
    <x v="35"/>
    <x v="415"/>
  </r>
  <r>
    <x v="4"/>
    <x v="153"/>
    <x v="35"/>
    <x v="416"/>
  </r>
  <r>
    <x v="4"/>
    <x v="35"/>
    <x v="35"/>
    <x v="417"/>
  </r>
  <r>
    <x v="4"/>
    <x v="62"/>
    <x v="35"/>
    <x v="418"/>
  </r>
  <r>
    <x v="4"/>
    <x v="77"/>
    <x v="35"/>
    <x v="419"/>
  </r>
  <r>
    <x v="4"/>
    <x v="50"/>
    <x v="35"/>
    <x v="420"/>
  </r>
  <r>
    <x v="4"/>
    <x v="20"/>
    <x v="35"/>
    <x v="421"/>
  </r>
  <r>
    <x v="4"/>
    <x v="11"/>
    <x v="35"/>
    <x v="422"/>
  </r>
  <r>
    <x v="5"/>
    <x v="167"/>
    <x v="36"/>
    <x v="423"/>
  </r>
  <r>
    <x v="5"/>
    <x v="52"/>
    <x v="36"/>
    <x v="424"/>
  </r>
  <r>
    <x v="0"/>
    <x v="132"/>
    <x v="36"/>
    <x v="425"/>
  </r>
  <r>
    <x v="0"/>
    <x v="216"/>
    <x v="36"/>
    <x v="426"/>
  </r>
  <r>
    <x v="6"/>
    <x v="203"/>
    <x v="36"/>
    <x v="427"/>
  </r>
  <r>
    <x v="10"/>
    <x v="175"/>
    <x v="36"/>
    <x v="428"/>
  </r>
  <r>
    <x v="13"/>
    <x v="39"/>
    <x v="36"/>
    <x v="0"/>
  </r>
  <r>
    <x v="2"/>
    <x v="162"/>
    <x v="36"/>
    <x v="0"/>
  </r>
  <r>
    <x v="2"/>
    <x v="32"/>
    <x v="36"/>
    <x v="429"/>
  </r>
  <r>
    <x v="2"/>
    <x v="188"/>
    <x v="36"/>
    <x v="430"/>
  </r>
  <r>
    <x v="3"/>
    <x v="133"/>
    <x v="36"/>
    <x v="431"/>
  </r>
  <r>
    <x v="3"/>
    <x v="166"/>
    <x v="36"/>
    <x v="432"/>
  </r>
  <r>
    <x v="4"/>
    <x v="57"/>
    <x v="36"/>
    <x v="433"/>
  </r>
  <r>
    <x v="4"/>
    <x v="117"/>
    <x v="36"/>
    <x v="434"/>
  </r>
  <r>
    <x v="4"/>
    <x v="120"/>
    <x v="36"/>
    <x v="435"/>
  </r>
  <r>
    <x v="5"/>
    <x v="65"/>
    <x v="37"/>
    <x v="436"/>
  </r>
  <r>
    <x v="5"/>
    <x v="130"/>
    <x v="37"/>
    <x v="437"/>
  </r>
  <r>
    <x v="15"/>
    <x v="89"/>
    <x v="37"/>
    <x v="438"/>
  </r>
  <r>
    <x v="3"/>
    <x v="92"/>
    <x v="37"/>
    <x v="439"/>
  </r>
  <r>
    <x v="3"/>
    <x v="236"/>
    <x v="37"/>
    <x v="440"/>
  </r>
  <r>
    <x v="4"/>
    <x v="76"/>
    <x v="37"/>
    <x v="441"/>
  </r>
  <r>
    <x v="4"/>
    <x v="18"/>
    <x v="37"/>
    <x v="442"/>
  </r>
  <r>
    <x v="4"/>
    <x v="215"/>
    <x v="37"/>
    <x v="443"/>
  </r>
  <r>
    <x v="4"/>
    <x v="152"/>
    <x v="37"/>
    <x v="444"/>
  </r>
  <r>
    <x v="4"/>
    <x v="152"/>
    <x v="37"/>
    <x v="445"/>
  </r>
  <r>
    <x v="12"/>
    <x v="142"/>
    <x v="38"/>
    <x v="446"/>
  </r>
  <r>
    <x v="7"/>
    <x v="54"/>
    <x v="38"/>
    <x v="447"/>
  </r>
  <r>
    <x v="7"/>
    <x v="15"/>
    <x v="38"/>
    <x v="448"/>
  </r>
  <r>
    <x v="13"/>
    <x v="187"/>
    <x v="38"/>
    <x v="449"/>
  </r>
  <r>
    <x v="3"/>
    <x v="16"/>
    <x v="38"/>
    <x v="450"/>
  </r>
  <r>
    <x v="3"/>
    <x v="32"/>
    <x v="38"/>
    <x v="451"/>
  </r>
  <r>
    <x v="4"/>
    <x v="75"/>
    <x v="38"/>
    <x v="452"/>
  </r>
  <r>
    <x v="4"/>
    <x v="48"/>
    <x v="38"/>
    <x v="453"/>
  </r>
  <r>
    <x v="4"/>
    <x v="35"/>
    <x v="38"/>
    <x v="454"/>
  </r>
  <r>
    <x v="4"/>
    <x v="10"/>
    <x v="38"/>
    <x v="455"/>
  </r>
  <r>
    <x v="4"/>
    <x v="12"/>
    <x v="38"/>
    <x v="456"/>
  </r>
  <r>
    <x v="8"/>
    <x v="189"/>
    <x v="39"/>
    <x v="0"/>
  </r>
  <r>
    <x v="5"/>
    <x v="149"/>
    <x v="39"/>
    <x v="457"/>
  </r>
  <r>
    <x v="5"/>
    <x v="228"/>
    <x v="39"/>
    <x v="458"/>
  </r>
  <r>
    <x v="5"/>
    <x v="173"/>
    <x v="39"/>
    <x v="459"/>
  </r>
  <r>
    <x v="5"/>
    <x v="178"/>
    <x v="39"/>
    <x v="460"/>
  </r>
  <r>
    <x v="0"/>
    <x v="194"/>
    <x v="39"/>
    <x v="461"/>
  </r>
  <r>
    <x v="2"/>
    <x v="225"/>
    <x v="39"/>
    <x v="462"/>
  </r>
  <r>
    <x v="2"/>
    <x v="5"/>
    <x v="39"/>
    <x v="463"/>
  </r>
  <r>
    <x v="2"/>
    <x v="104"/>
    <x v="39"/>
    <x v="464"/>
  </r>
  <r>
    <x v="2"/>
    <x v="184"/>
    <x v="39"/>
    <x v="465"/>
  </r>
  <r>
    <x v="3"/>
    <x v="147"/>
    <x v="39"/>
    <x v="466"/>
  </r>
  <r>
    <x v="3"/>
    <x v="116"/>
    <x v="39"/>
    <x v="467"/>
  </r>
  <r>
    <x v="4"/>
    <x v="82"/>
    <x v="39"/>
    <x v="468"/>
  </r>
  <r>
    <x v="4"/>
    <x v="62"/>
    <x v="39"/>
    <x v="469"/>
  </r>
  <r>
    <x v="4"/>
    <x v="117"/>
    <x v="39"/>
    <x v="470"/>
  </r>
  <r>
    <x v="4"/>
    <x v="11"/>
    <x v="39"/>
    <x v="471"/>
  </r>
  <r>
    <x v="12"/>
    <x v="26"/>
    <x v="40"/>
    <x v="472"/>
  </r>
  <r>
    <x v="12"/>
    <x v="37"/>
    <x v="40"/>
    <x v="0"/>
  </r>
  <r>
    <x v="5"/>
    <x v="182"/>
    <x v="40"/>
    <x v="473"/>
  </r>
  <r>
    <x v="0"/>
    <x v="0"/>
    <x v="40"/>
    <x v="0"/>
  </r>
  <r>
    <x v="6"/>
    <x v="131"/>
    <x v="40"/>
    <x v="474"/>
  </r>
  <r>
    <x v="3"/>
    <x v="211"/>
    <x v="40"/>
    <x v="475"/>
  </r>
  <r>
    <x v="3"/>
    <x v="211"/>
    <x v="40"/>
    <x v="476"/>
  </r>
  <r>
    <x v="3"/>
    <x v="47"/>
    <x v="40"/>
    <x v="477"/>
  </r>
  <r>
    <x v="4"/>
    <x v="34"/>
    <x v="40"/>
    <x v="478"/>
  </r>
  <r>
    <x v="4"/>
    <x v="215"/>
    <x v="40"/>
    <x v="479"/>
  </r>
  <r>
    <x v="4"/>
    <x v="19"/>
    <x v="40"/>
    <x v="480"/>
  </r>
  <r>
    <x v="4"/>
    <x v="36"/>
    <x v="40"/>
    <x v="481"/>
  </r>
  <r>
    <x v="4"/>
    <x v="50"/>
    <x v="40"/>
    <x v="482"/>
  </r>
  <r>
    <x v="4"/>
    <x v="11"/>
    <x v="40"/>
    <x v="483"/>
  </r>
  <r>
    <x v="12"/>
    <x v="38"/>
    <x v="41"/>
    <x v="484"/>
  </r>
  <r>
    <x v="0"/>
    <x v="67"/>
    <x v="41"/>
    <x v="485"/>
  </r>
  <r>
    <x v="15"/>
    <x v="198"/>
    <x v="41"/>
    <x v="486"/>
  </r>
  <r>
    <x v="1"/>
    <x v="144"/>
    <x v="41"/>
    <x v="487"/>
  </r>
  <r>
    <x v="2"/>
    <x v="207"/>
    <x v="41"/>
    <x v="488"/>
  </r>
  <r>
    <x v="3"/>
    <x v="56"/>
    <x v="41"/>
    <x v="489"/>
  </r>
  <r>
    <x v="4"/>
    <x v="7"/>
    <x v="41"/>
    <x v="490"/>
  </r>
  <r>
    <x v="4"/>
    <x v="82"/>
    <x v="41"/>
    <x v="491"/>
  </r>
  <r>
    <x v="4"/>
    <x v="165"/>
    <x v="41"/>
    <x v="492"/>
  </r>
  <r>
    <x v="4"/>
    <x v="18"/>
    <x v="41"/>
    <x v="493"/>
  </r>
  <r>
    <x v="4"/>
    <x v="9"/>
    <x v="41"/>
    <x v="494"/>
  </r>
  <r>
    <x v="4"/>
    <x v="152"/>
    <x v="41"/>
    <x v="495"/>
  </r>
  <r>
    <x v="12"/>
    <x v="154"/>
    <x v="42"/>
    <x v="0"/>
  </r>
  <r>
    <x v="5"/>
    <x v="157"/>
    <x v="42"/>
    <x v="496"/>
  </r>
  <r>
    <x v="5"/>
    <x v="141"/>
    <x v="42"/>
    <x v="497"/>
  </r>
  <r>
    <x v="5"/>
    <x v="66"/>
    <x v="42"/>
    <x v="498"/>
  </r>
  <r>
    <x v="6"/>
    <x v="151"/>
    <x v="42"/>
    <x v="499"/>
  </r>
  <r>
    <x v="1"/>
    <x v="1"/>
    <x v="42"/>
    <x v="500"/>
  </r>
  <r>
    <x v="7"/>
    <x v="46"/>
    <x v="42"/>
    <x v="501"/>
  </r>
  <r>
    <x v="2"/>
    <x v="233"/>
    <x v="42"/>
    <x v="502"/>
  </r>
  <r>
    <x v="2"/>
    <x v="191"/>
    <x v="42"/>
    <x v="503"/>
  </r>
  <r>
    <x v="3"/>
    <x v="16"/>
    <x v="42"/>
    <x v="251"/>
  </r>
  <r>
    <x v="3"/>
    <x v="17"/>
    <x v="42"/>
    <x v="504"/>
  </r>
  <r>
    <x v="4"/>
    <x v="75"/>
    <x v="42"/>
    <x v="505"/>
  </r>
  <r>
    <x v="4"/>
    <x v="7"/>
    <x v="42"/>
    <x v="506"/>
  </r>
  <r>
    <x v="4"/>
    <x v="34"/>
    <x v="42"/>
    <x v="507"/>
  </r>
  <r>
    <x v="4"/>
    <x v="62"/>
    <x v="42"/>
    <x v="508"/>
  </r>
  <r>
    <x v="4"/>
    <x v="77"/>
    <x v="42"/>
    <x v="509"/>
  </r>
  <r>
    <x v="4"/>
    <x v="63"/>
    <x v="42"/>
    <x v="510"/>
  </r>
  <r>
    <x v="4"/>
    <x v="9"/>
    <x v="42"/>
    <x v="511"/>
  </r>
  <r>
    <x v="4"/>
    <x v="10"/>
    <x v="42"/>
    <x v="512"/>
  </r>
  <r>
    <x v="5"/>
    <x v="86"/>
    <x v="43"/>
    <x v="513"/>
  </r>
  <r>
    <x v="5"/>
    <x v="96"/>
    <x v="43"/>
    <x v="514"/>
  </r>
  <r>
    <x v="9"/>
    <x v="97"/>
    <x v="43"/>
    <x v="515"/>
  </r>
  <r>
    <x v="6"/>
    <x v="25"/>
    <x v="43"/>
    <x v="516"/>
  </r>
  <r>
    <x v="6"/>
    <x v="159"/>
    <x v="43"/>
    <x v="517"/>
  </r>
  <r>
    <x v="2"/>
    <x v="2"/>
    <x v="43"/>
    <x v="518"/>
  </r>
  <r>
    <x v="2"/>
    <x v="91"/>
    <x v="43"/>
    <x v="519"/>
  </r>
  <r>
    <x v="2"/>
    <x v="146"/>
    <x v="43"/>
    <x v="520"/>
  </r>
  <r>
    <x v="3"/>
    <x v="4"/>
    <x v="43"/>
    <x v="521"/>
  </r>
  <r>
    <x v="3"/>
    <x v="147"/>
    <x v="43"/>
    <x v="522"/>
  </r>
  <r>
    <x v="3"/>
    <x v="5"/>
    <x v="43"/>
    <x v="523"/>
  </r>
  <r>
    <x v="3"/>
    <x v="235"/>
    <x v="43"/>
    <x v="524"/>
  </r>
  <r>
    <x v="3"/>
    <x v="74"/>
    <x v="43"/>
    <x v="525"/>
  </r>
  <r>
    <x v="4"/>
    <x v="167"/>
    <x v="43"/>
    <x v="526"/>
  </r>
  <r>
    <x v="4"/>
    <x v="18"/>
    <x v="43"/>
    <x v="527"/>
  </r>
  <r>
    <x v="4"/>
    <x v="34"/>
    <x v="43"/>
    <x v="528"/>
  </r>
  <r>
    <x v="4"/>
    <x v="62"/>
    <x v="43"/>
    <x v="529"/>
  </r>
  <r>
    <x v="4"/>
    <x v="141"/>
    <x v="43"/>
    <x v="530"/>
  </r>
  <r>
    <x v="4"/>
    <x v="84"/>
    <x v="43"/>
    <x v="531"/>
  </r>
  <r>
    <x v="4"/>
    <x v="84"/>
    <x v="43"/>
    <x v="532"/>
  </r>
  <r>
    <x v="4"/>
    <x v="119"/>
    <x v="43"/>
    <x v="533"/>
  </r>
  <r>
    <x v="12"/>
    <x v="127"/>
    <x v="44"/>
    <x v="534"/>
  </r>
  <r>
    <x v="5"/>
    <x v="107"/>
    <x v="44"/>
    <x v="535"/>
  </r>
  <r>
    <x v="5"/>
    <x v="177"/>
    <x v="44"/>
    <x v="536"/>
  </r>
  <r>
    <x v="5"/>
    <x v="60"/>
    <x v="44"/>
    <x v="537"/>
  </r>
  <r>
    <x v="1"/>
    <x v="204"/>
    <x v="44"/>
    <x v="538"/>
  </r>
  <r>
    <x v="11"/>
    <x v="231"/>
    <x v="44"/>
    <x v="539"/>
  </r>
  <r>
    <x v="7"/>
    <x v="176"/>
    <x v="44"/>
    <x v="540"/>
  </r>
  <r>
    <x v="3"/>
    <x v="43"/>
    <x v="44"/>
    <x v="541"/>
  </r>
  <r>
    <x v="3"/>
    <x v="128"/>
    <x v="44"/>
    <x v="542"/>
  </r>
  <r>
    <x v="3"/>
    <x v="148"/>
    <x v="44"/>
    <x v="543"/>
  </r>
  <r>
    <x v="4"/>
    <x v="8"/>
    <x v="44"/>
    <x v="544"/>
  </r>
  <r>
    <x v="4"/>
    <x v="173"/>
    <x v="44"/>
    <x v="545"/>
  </r>
  <r>
    <x v="1"/>
    <x v="137"/>
    <x v="45"/>
    <x v="546"/>
  </r>
  <r>
    <x v="10"/>
    <x v="28"/>
    <x v="45"/>
    <x v="547"/>
  </r>
  <r>
    <x v="11"/>
    <x v="29"/>
    <x v="45"/>
    <x v="548"/>
  </r>
  <r>
    <x v="2"/>
    <x v="93"/>
    <x v="45"/>
    <x v="549"/>
  </r>
  <r>
    <x v="2"/>
    <x v="3"/>
    <x v="45"/>
    <x v="550"/>
  </r>
  <r>
    <x v="3"/>
    <x v="116"/>
    <x v="45"/>
    <x v="551"/>
  </r>
  <r>
    <x v="3"/>
    <x v="92"/>
    <x v="45"/>
    <x v="552"/>
  </r>
  <r>
    <x v="3"/>
    <x v="108"/>
    <x v="45"/>
    <x v="553"/>
  </r>
  <r>
    <x v="3"/>
    <x v="134"/>
    <x v="45"/>
    <x v="554"/>
  </r>
  <r>
    <x v="4"/>
    <x v="7"/>
    <x v="45"/>
    <x v="555"/>
  </r>
  <r>
    <x v="4"/>
    <x v="76"/>
    <x v="45"/>
    <x v="556"/>
  </r>
  <r>
    <x v="4"/>
    <x v="118"/>
    <x v="45"/>
    <x v="557"/>
  </r>
  <r>
    <x v="4"/>
    <x v="166"/>
    <x v="45"/>
    <x v="558"/>
  </r>
  <r>
    <x v="5"/>
    <x v="182"/>
    <x v="46"/>
    <x v="559"/>
  </r>
  <r>
    <x v="5"/>
    <x v="156"/>
    <x v="46"/>
    <x v="560"/>
  </r>
  <r>
    <x v="7"/>
    <x v="150"/>
    <x v="46"/>
    <x v="561"/>
  </r>
  <r>
    <x v="14"/>
    <x v="206"/>
    <x v="46"/>
    <x v="562"/>
  </r>
  <r>
    <x v="3"/>
    <x v="43"/>
    <x v="46"/>
    <x v="563"/>
  </r>
  <r>
    <x v="4"/>
    <x v="18"/>
    <x v="46"/>
    <x v="564"/>
  </r>
  <r>
    <x v="4"/>
    <x v="48"/>
    <x v="46"/>
    <x v="565"/>
  </r>
  <r>
    <x v="4"/>
    <x v="19"/>
    <x v="46"/>
    <x v="566"/>
  </r>
  <r>
    <x v="4"/>
    <x v="119"/>
    <x v="46"/>
    <x v="567"/>
  </r>
  <r>
    <x v="5"/>
    <x v="223"/>
    <x v="47"/>
    <x v="568"/>
  </r>
  <r>
    <x v="0"/>
    <x v="171"/>
    <x v="47"/>
    <x v="569"/>
  </r>
  <r>
    <x v="0"/>
    <x v="185"/>
    <x v="47"/>
    <x v="570"/>
  </r>
  <r>
    <x v="1"/>
    <x v="99"/>
    <x v="47"/>
    <x v="571"/>
  </r>
  <r>
    <x v="7"/>
    <x v="126"/>
    <x v="47"/>
    <x v="572"/>
  </r>
  <r>
    <x v="2"/>
    <x v="47"/>
    <x v="47"/>
    <x v="573"/>
  </r>
  <r>
    <x v="4"/>
    <x v="8"/>
    <x v="47"/>
    <x v="574"/>
  </r>
  <r>
    <x v="4"/>
    <x v="35"/>
    <x v="47"/>
    <x v="575"/>
  </r>
  <r>
    <x v="5"/>
    <x v="130"/>
    <x v="48"/>
    <x v="576"/>
  </r>
  <r>
    <x v="0"/>
    <x v="113"/>
    <x v="48"/>
    <x v="577"/>
  </r>
  <r>
    <x v="16"/>
    <x v="81"/>
    <x v="48"/>
    <x v="578"/>
  </r>
  <r>
    <x v="7"/>
    <x v="200"/>
    <x v="48"/>
    <x v="579"/>
  </r>
  <r>
    <x v="14"/>
    <x v="232"/>
    <x v="48"/>
    <x v="580"/>
  </r>
  <r>
    <x v="14"/>
    <x v="218"/>
    <x v="48"/>
    <x v="581"/>
  </r>
  <r>
    <x v="3"/>
    <x v="6"/>
    <x v="48"/>
    <x v="582"/>
  </r>
  <r>
    <x v="3"/>
    <x v="139"/>
    <x v="48"/>
    <x v="583"/>
  </r>
  <r>
    <x v="4"/>
    <x v="8"/>
    <x v="48"/>
    <x v="584"/>
  </r>
  <r>
    <x v="4"/>
    <x v="82"/>
    <x v="48"/>
    <x v="585"/>
  </r>
  <r>
    <x v="4"/>
    <x v="18"/>
    <x v="48"/>
    <x v="586"/>
  </r>
  <r>
    <x v="4"/>
    <x v="215"/>
    <x v="48"/>
    <x v="587"/>
  </r>
  <r>
    <x v="4"/>
    <x v="49"/>
    <x v="48"/>
    <x v="588"/>
  </r>
  <r>
    <x v="4"/>
    <x v="50"/>
    <x v="48"/>
    <x v="589"/>
  </r>
  <r>
    <x v="4"/>
    <x v="141"/>
    <x v="48"/>
    <x v="590"/>
  </r>
  <r>
    <x v="4"/>
    <x v="20"/>
    <x v="48"/>
    <x v="591"/>
  </r>
  <r>
    <x v="4"/>
    <x v="121"/>
    <x v="48"/>
    <x v="592"/>
  </r>
  <r>
    <x v="12"/>
    <x v="190"/>
    <x v="49"/>
    <x v="593"/>
  </r>
  <r>
    <x v="5"/>
    <x v="220"/>
    <x v="49"/>
    <x v="594"/>
  </r>
  <r>
    <x v="5"/>
    <x v="136"/>
    <x v="49"/>
    <x v="595"/>
  </r>
  <r>
    <x v="9"/>
    <x v="23"/>
    <x v="49"/>
    <x v="0"/>
  </r>
  <r>
    <x v="0"/>
    <x v="27"/>
    <x v="49"/>
    <x v="596"/>
  </r>
  <r>
    <x v="6"/>
    <x v="90"/>
    <x v="49"/>
    <x v="597"/>
  </r>
  <r>
    <x v="6"/>
    <x v="195"/>
    <x v="49"/>
    <x v="598"/>
  </r>
  <r>
    <x v="11"/>
    <x v="30"/>
    <x v="49"/>
    <x v="599"/>
  </r>
  <r>
    <x v="7"/>
    <x v="192"/>
    <x v="49"/>
    <x v="600"/>
  </r>
  <r>
    <x v="7"/>
    <x v="199"/>
    <x v="49"/>
    <x v="601"/>
  </r>
  <r>
    <x v="4"/>
    <x v="83"/>
    <x v="49"/>
    <x v="602"/>
  </r>
  <r>
    <x v="4"/>
    <x v="59"/>
    <x v="49"/>
    <x v="603"/>
  </r>
  <r>
    <x v="4"/>
    <x v="51"/>
    <x v="49"/>
    <x v="604"/>
  </r>
  <r>
    <x v="4"/>
    <x v="20"/>
    <x v="49"/>
    <x v="605"/>
  </r>
  <r>
    <x v="5"/>
    <x v="78"/>
    <x v="50"/>
    <x v="606"/>
  </r>
  <r>
    <x v="1"/>
    <x v="79"/>
    <x v="50"/>
    <x v="607"/>
  </r>
  <r>
    <x v="2"/>
    <x v="42"/>
    <x v="50"/>
    <x v="608"/>
  </r>
  <r>
    <x v="4"/>
    <x v="94"/>
    <x v="50"/>
    <x v="609"/>
  </r>
  <r>
    <x v="18"/>
    <x v="155"/>
    <x v="51"/>
    <x v="610"/>
  </r>
  <r>
    <x v="5"/>
    <x v="135"/>
    <x v="51"/>
    <x v="611"/>
  </r>
  <r>
    <x v="0"/>
    <x v="143"/>
    <x v="51"/>
    <x v="612"/>
  </r>
  <r>
    <x v="15"/>
    <x v="221"/>
    <x v="51"/>
    <x v="613"/>
  </r>
  <r>
    <x v="10"/>
    <x v="101"/>
    <x v="51"/>
    <x v="614"/>
  </r>
  <r>
    <x v="10"/>
    <x v="125"/>
    <x v="51"/>
    <x v="615"/>
  </r>
  <r>
    <x v="11"/>
    <x v="21"/>
    <x v="51"/>
    <x v="616"/>
  </r>
  <r>
    <x v="2"/>
    <x v="209"/>
    <x v="51"/>
    <x v="617"/>
  </r>
  <r>
    <x v="3"/>
    <x v="22"/>
    <x v="51"/>
    <x v="618"/>
  </r>
  <r>
    <x v="3"/>
    <x v="109"/>
    <x v="51"/>
    <x v="619"/>
  </r>
  <r>
    <x v="3"/>
    <x v="17"/>
    <x v="51"/>
    <x v="620"/>
  </r>
  <r>
    <x v="4"/>
    <x v="57"/>
    <x v="51"/>
    <x v="621"/>
  </r>
  <r>
    <x v="4"/>
    <x v="227"/>
    <x v="51"/>
    <x v="622"/>
  </r>
  <r>
    <x v="4"/>
    <x v="19"/>
    <x v="51"/>
    <x v="623"/>
  </r>
  <r>
    <x v="4"/>
    <x v="110"/>
    <x v="51"/>
    <x v="624"/>
  </r>
  <r>
    <x v="4"/>
    <x v="152"/>
    <x v="51"/>
    <x v="625"/>
  </r>
  <r>
    <x v="5"/>
    <x v="208"/>
    <x v="52"/>
    <x v="626"/>
  </r>
  <r>
    <x v="5"/>
    <x v="87"/>
    <x v="52"/>
    <x v="627"/>
  </r>
  <r>
    <x v="19"/>
    <x v="230"/>
    <x v="52"/>
    <x v="628"/>
  </r>
  <r>
    <x v="10"/>
    <x v="186"/>
    <x v="52"/>
    <x v="629"/>
  </r>
  <r>
    <x v="7"/>
    <x v="71"/>
    <x v="52"/>
    <x v="630"/>
  </r>
  <r>
    <x v="3"/>
    <x v="56"/>
    <x v="52"/>
    <x v="631"/>
  </r>
  <r>
    <x v="3"/>
    <x v="74"/>
    <x v="52"/>
    <x v="632"/>
  </r>
  <r>
    <x v="4"/>
    <x v="75"/>
    <x v="52"/>
    <x v="633"/>
  </r>
  <r>
    <x v="4"/>
    <x v="94"/>
    <x v="52"/>
    <x v="634"/>
  </r>
  <r>
    <x v="5"/>
    <x v="95"/>
    <x v="53"/>
    <x v="635"/>
  </r>
  <r>
    <x v="15"/>
    <x v="180"/>
    <x v="53"/>
    <x v="636"/>
  </r>
  <r>
    <x v="7"/>
    <x v="213"/>
    <x v="53"/>
    <x v="637"/>
  </r>
  <r>
    <x v="14"/>
    <x v="197"/>
    <x v="53"/>
    <x v="638"/>
  </r>
  <r>
    <x v="4"/>
    <x v="117"/>
    <x v="53"/>
    <x v="639"/>
  </r>
  <r>
    <x v="4"/>
    <x v="118"/>
    <x v="53"/>
    <x v="640"/>
  </r>
  <r>
    <x v="4"/>
    <x v="49"/>
    <x v="53"/>
    <x v="641"/>
  </r>
  <r>
    <x v="4"/>
    <x v="59"/>
    <x v="53"/>
    <x v="642"/>
  </r>
  <r>
    <x v="5"/>
    <x v="168"/>
    <x v="54"/>
    <x v="643"/>
  </r>
  <r>
    <x v="15"/>
    <x v="68"/>
    <x v="54"/>
    <x v="644"/>
  </r>
  <r>
    <x v="15"/>
    <x v="158"/>
    <x v="54"/>
    <x v="645"/>
  </r>
  <r>
    <x v="6"/>
    <x v="160"/>
    <x v="54"/>
    <x v="646"/>
  </r>
  <r>
    <x v="16"/>
    <x v="103"/>
    <x v="54"/>
    <x v="647"/>
  </r>
  <r>
    <x v="2"/>
    <x v="214"/>
    <x v="54"/>
    <x v="648"/>
  </r>
  <r>
    <x v="3"/>
    <x v="31"/>
    <x v="54"/>
    <x v="649"/>
  </r>
  <r>
    <x v="3"/>
    <x v="215"/>
    <x v="54"/>
    <x v="650"/>
  </r>
  <r>
    <x v="4"/>
    <x v="118"/>
    <x v="54"/>
    <x v="651"/>
  </r>
  <r>
    <x v="4"/>
    <x v="77"/>
    <x v="54"/>
    <x v="652"/>
  </r>
  <r>
    <x v="4"/>
    <x v="51"/>
    <x v="54"/>
    <x v="653"/>
  </r>
  <r>
    <x v="4"/>
    <x v="20"/>
    <x v="54"/>
    <x v="654"/>
  </r>
  <r>
    <x v="10"/>
    <x v="102"/>
    <x v="55"/>
    <x v="655"/>
  </r>
  <r>
    <x v="7"/>
    <x v="112"/>
    <x v="55"/>
    <x v="656"/>
  </r>
  <r>
    <x v="2"/>
    <x v="115"/>
    <x v="55"/>
    <x v="657"/>
  </r>
  <r>
    <x v="2"/>
    <x v="163"/>
    <x v="55"/>
    <x v="658"/>
  </r>
  <r>
    <x v="2"/>
    <x v="70"/>
    <x v="55"/>
    <x v="659"/>
  </r>
  <r>
    <x v="3"/>
    <x v="219"/>
    <x v="55"/>
    <x v="660"/>
  </r>
  <r>
    <x v="3"/>
    <x v="219"/>
    <x v="55"/>
    <x v="661"/>
  </r>
  <r>
    <x v="4"/>
    <x v="35"/>
    <x v="55"/>
    <x v="662"/>
  </r>
  <r>
    <x v="4"/>
    <x v="129"/>
    <x v="55"/>
    <x v="663"/>
  </r>
  <r>
    <x v="4"/>
    <x v="9"/>
    <x v="55"/>
    <x v="664"/>
  </r>
  <r>
    <x v="12"/>
    <x v="181"/>
    <x v="56"/>
    <x v="665"/>
  </r>
  <r>
    <x v="5"/>
    <x v="119"/>
    <x v="56"/>
    <x v="666"/>
  </r>
  <r>
    <x v="10"/>
    <x v="124"/>
    <x v="56"/>
    <x v="667"/>
  </r>
  <r>
    <x v="10"/>
    <x v="145"/>
    <x v="56"/>
    <x v="668"/>
  </r>
  <r>
    <x v="3"/>
    <x v="202"/>
    <x v="56"/>
    <x v="669"/>
  </r>
  <r>
    <x v="3"/>
    <x v="234"/>
    <x v="56"/>
    <x v="670"/>
  </r>
  <r>
    <x v="3"/>
    <x v="73"/>
    <x v="56"/>
    <x v="671"/>
  </r>
  <r>
    <x v="3"/>
    <x v="74"/>
    <x v="56"/>
    <x v="672"/>
  </r>
  <r>
    <x v="4"/>
    <x v="58"/>
    <x v="56"/>
    <x v="673"/>
  </r>
  <r>
    <x v="4"/>
    <x v="110"/>
    <x v="56"/>
    <x v="674"/>
  </r>
  <r>
    <x v="4"/>
    <x v="59"/>
    <x v="56"/>
    <x v="675"/>
  </r>
  <r>
    <x v="4"/>
    <x v="10"/>
    <x v="56"/>
    <x v="676"/>
  </r>
  <r>
    <x v="12"/>
    <x v="44"/>
    <x v="57"/>
    <x v="677"/>
  </r>
  <r>
    <x v="5"/>
    <x v="45"/>
    <x v="57"/>
    <x v="678"/>
  </r>
  <r>
    <x v="5"/>
    <x v="193"/>
    <x v="57"/>
    <x v="679"/>
  </r>
  <r>
    <x v="9"/>
    <x v="24"/>
    <x v="57"/>
    <x v="0"/>
  </r>
  <r>
    <x v="1"/>
    <x v="222"/>
    <x v="57"/>
    <x v="680"/>
  </r>
  <r>
    <x v="7"/>
    <x v="114"/>
    <x v="57"/>
    <x v="681"/>
  </r>
  <r>
    <x v="2"/>
    <x v="164"/>
    <x v="57"/>
    <x v="682"/>
  </r>
  <r>
    <x v="3"/>
    <x v="22"/>
    <x v="57"/>
    <x v="683"/>
  </r>
  <r>
    <x v="3"/>
    <x v="93"/>
    <x v="57"/>
    <x v="684"/>
  </r>
  <r>
    <x v="3"/>
    <x v="226"/>
    <x v="57"/>
    <x v="685"/>
  </r>
  <r>
    <x v="3"/>
    <x v="17"/>
    <x v="57"/>
    <x v="686"/>
  </r>
  <r>
    <x v="12"/>
    <x v="85"/>
    <x v="58"/>
    <x v="687"/>
  </r>
  <r>
    <x v="5"/>
    <x v="64"/>
    <x v="58"/>
    <x v="688"/>
  </r>
  <r>
    <x v="6"/>
    <x v="169"/>
    <x v="58"/>
    <x v="689"/>
  </r>
  <r>
    <x v="14"/>
    <x v="224"/>
    <x v="58"/>
    <x v="690"/>
  </r>
  <r>
    <x v="14"/>
    <x v="172"/>
    <x v="58"/>
    <x v="691"/>
  </r>
  <r>
    <x v="3"/>
    <x v="92"/>
    <x v="58"/>
    <x v="692"/>
  </r>
  <r>
    <x v="3"/>
    <x v="72"/>
    <x v="58"/>
    <x v="693"/>
  </r>
  <r>
    <x v="3"/>
    <x v="128"/>
    <x v="58"/>
    <x v="694"/>
  </r>
  <r>
    <x v="4"/>
    <x v="76"/>
    <x v="58"/>
    <x v="695"/>
  </r>
  <r>
    <x v="4"/>
    <x v="48"/>
    <x v="58"/>
    <x v="696"/>
  </r>
  <r>
    <x v="4"/>
    <x v="36"/>
    <x v="58"/>
    <x v="697"/>
  </r>
  <r>
    <x v="4"/>
    <x v="84"/>
    <x v="58"/>
    <x v="130"/>
  </r>
  <r>
    <x v="12"/>
    <x v="142"/>
    <x v="59"/>
    <x v="0"/>
  </r>
  <r>
    <x v="9"/>
    <x v="23"/>
    <x v="59"/>
    <x v="0"/>
  </r>
  <r>
    <x v="6"/>
    <x v="160"/>
    <x v="59"/>
    <x v="698"/>
  </r>
  <r>
    <x v="16"/>
    <x v="81"/>
    <x v="59"/>
    <x v="118"/>
  </r>
  <r>
    <x v="2"/>
    <x v="104"/>
    <x v="59"/>
    <x v="699"/>
  </r>
  <r>
    <x v="3"/>
    <x v="174"/>
    <x v="59"/>
    <x v="700"/>
  </r>
  <r>
    <x v="4"/>
    <x v="49"/>
    <x v="59"/>
    <x v="701"/>
  </r>
  <r>
    <x v="4"/>
    <x v="120"/>
    <x v="59"/>
    <x v="702"/>
  </r>
  <r>
    <x v="5"/>
    <x v="107"/>
    <x v="60"/>
    <x v="703"/>
  </r>
  <r>
    <x v="5"/>
    <x v="51"/>
    <x v="60"/>
    <x v="704"/>
  </r>
  <r>
    <x v="0"/>
    <x v="194"/>
    <x v="60"/>
    <x v="0"/>
  </r>
  <r>
    <x v="7"/>
    <x v="213"/>
    <x v="60"/>
    <x v="705"/>
  </r>
  <r>
    <x v="2"/>
    <x v="2"/>
    <x v="60"/>
    <x v="706"/>
  </r>
  <r>
    <x v="2"/>
    <x v="184"/>
    <x v="60"/>
    <x v="707"/>
  </r>
  <r>
    <x v="3"/>
    <x v="72"/>
    <x v="60"/>
    <x v="708"/>
  </r>
  <r>
    <x v="4"/>
    <x v="57"/>
    <x v="60"/>
    <x v="709"/>
  </r>
  <r>
    <x v="4"/>
    <x v="35"/>
    <x v="60"/>
    <x v="710"/>
  </r>
  <r>
    <x v="4"/>
    <x v="59"/>
    <x v="60"/>
    <x v="711"/>
  </r>
  <r>
    <x v="4"/>
    <x v="63"/>
    <x v="60"/>
    <x v="712"/>
  </r>
  <r>
    <x v="4"/>
    <x v="201"/>
    <x v="60"/>
    <x v="713"/>
  </r>
  <r>
    <x v="12"/>
    <x v="154"/>
    <x v="61"/>
    <x v="714"/>
  </r>
  <r>
    <x v="12"/>
    <x v="181"/>
    <x v="61"/>
    <x v="715"/>
  </r>
  <r>
    <x v="10"/>
    <x v="196"/>
    <x v="61"/>
    <x v="716"/>
  </r>
  <r>
    <x v="7"/>
    <x v="176"/>
    <x v="61"/>
    <x v="717"/>
  </r>
  <r>
    <x v="7"/>
    <x v="112"/>
    <x v="61"/>
    <x v="718"/>
  </r>
  <r>
    <x v="14"/>
    <x v="232"/>
    <x v="61"/>
    <x v="719"/>
  </r>
  <r>
    <x v="4"/>
    <x v="8"/>
    <x v="61"/>
    <x v="720"/>
  </r>
  <r>
    <x v="4"/>
    <x v="8"/>
    <x v="61"/>
    <x v="721"/>
  </r>
  <r>
    <x v="4"/>
    <x v="58"/>
    <x v="61"/>
    <x v="722"/>
  </r>
  <r>
    <x v="4"/>
    <x v="36"/>
    <x v="61"/>
    <x v="723"/>
  </r>
  <r>
    <x v="4"/>
    <x v="36"/>
    <x v="61"/>
    <x v="724"/>
  </r>
  <r>
    <x v="4"/>
    <x v="10"/>
    <x v="61"/>
    <x v="725"/>
  </r>
  <r>
    <x v="4"/>
    <x v="20"/>
    <x v="61"/>
    <x v="726"/>
  </r>
  <r>
    <x v="5"/>
    <x v="96"/>
    <x v="62"/>
    <x v="727"/>
  </r>
  <r>
    <x v="5"/>
    <x v="156"/>
    <x v="62"/>
    <x v="728"/>
  </r>
  <r>
    <x v="5"/>
    <x v="87"/>
    <x v="62"/>
    <x v="729"/>
  </r>
  <r>
    <x v="9"/>
    <x v="24"/>
    <x v="62"/>
    <x v="730"/>
  </r>
  <r>
    <x v="15"/>
    <x v="198"/>
    <x v="62"/>
    <x v="731"/>
  </r>
  <r>
    <x v="7"/>
    <x v="161"/>
    <x v="62"/>
    <x v="732"/>
  </r>
  <r>
    <x v="3"/>
    <x v="93"/>
    <x v="62"/>
    <x v="733"/>
  </r>
  <r>
    <x v="3"/>
    <x v="93"/>
    <x v="62"/>
    <x v="734"/>
  </r>
  <r>
    <x v="3"/>
    <x v="16"/>
    <x v="62"/>
    <x v="735"/>
  </r>
  <r>
    <x v="5"/>
    <x v="168"/>
    <x v="63"/>
    <x v="736"/>
  </r>
  <r>
    <x v="0"/>
    <x v="44"/>
    <x v="63"/>
    <x v="737"/>
  </r>
  <r>
    <x v="10"/>
    <x v="125"/>
    <x v="63"/>
    <x v="738"/>
  </r>
  <r>
    <x v="10"/>
    <x v="42"/>
    <x v="63"/>
    <x v="739"/>
  </r>
  <r>
    <x v="16"/>
    <x v="103"/>
    <x v="63"/>
    <x v="740"/>
  </r>
  <r>
    <x v="14"/>
    <x v="224"/>
    <x v="63"/>
    <x v="0"/>
  </r>
  <r>
    <x v="3"/>
    <x v="16"/>
    <x v="63"/>
    <x v="741"/>
  </r>
  <r>
    <x v="3"/>
    <x v="84"/>
    <x v="63"/>
    <x v="742"/>
  </r>
  <r>
    <x v="4"/>
    <x v="7"/>
    <x v="63"/>
    <x v="743"/>
  </r>
  <r>
    <x v="4"/>
    <x v="153"/>
    <x v="63"/>
    <x v="744"/>
  </r>
  <r>
    <x v="4"/>
    <x v="35"/>
    <x v="63"/>
    <x v="745"/>
  </r>
  <r>
    <x v="4"/>
    <x v="62"/>
    <x v="63"/>
    <x v="746"/>
  </r>
  <r>
    <x v="4"/>
    <x v="118"/>
    <x v="63"/>
    <x v="747"/>
  </r>
  <r>
    <x v="5"/>
    <x v="149"/>
    <x v="64"/>
    <x v="748"/>
  </r>
  <r>
    <x v="10"/>
    <x v="170"/>
    <x v="64"/>
    <x v="0"/>
  </r>
  <r>
    <x v="3"/>
    <x v="219"/>
    <x v="64"/>
    <x v="180"/>
  </r>
  <r>
    <x v="4"/>
    <x v="58"/>
    <x v="64"/>
    <x v="749"/>
  </r>
  <r>
    <x v="4"/>
    <x v="110"/>
    <x v="64"/>
    <x v="750"/>
  </r>
  <r>
    <x v="12"/>
    <x v="190"/>
    <x v="65"/>
    <x v="751"/>
  </r>
  <r>
    <x v="0"/>
    <x v="122"/>
    <x v="65"/>
    <x v="752"/>
  </r>
  <r>
    <x v="0"/>
    <x v="38"/>
    <x v="65"/>
    <x v="753"/>
  </r>
  <r>
    <x v="0"/>
    <x v="132"/>
    <x v="65"/>
    <x v="754"/>
  </r>
  <r>
    <x v="7"/>
    <x v="207"/>
    <x v="65"/>
    <x v="755"/>
  </r>
  <r>
    <x v="7"/>
    <x v="199"/>
    <x v="65"/>
    <x v="687"/>
  </r>
  <r>
    <x v="2"/>
    <x v="69"/>
    <x v="65"/>
    <x v="756"/>
  </r>
  <r>
    <x v="3"/>
    <x v="202"/>
    <x v="65"/>
    <x v="757"/>
  </r>
  <r>
    <x v="3"/>
    <x v="22"/>
    <x v="65"/>
    <x v="758"/>
  </r>
  <r>
    <x v="3"/>
    <x v="5"/>
    <x v="65"/>
    <x v="759"/>
  </r>
  <r>
    <x v="3"/>
    <x v="139"/>
    <x v="65"/>
    <x v="760"/>
  </r>
  <r>
    <x v="4"/>
    <x v="153"/>
    <x v="65"/>
    <x v="761"/>
  </r>
  <r>
    <x v="4"/>
    <x v="35"/>
    <x v="65"/>
    <x v="762"/>
  </r>
  <r>
    <x v="5"/>
    <x v="177"/>
    <x v="66"/>
    <x v="763"/>
  </r>
  <r>
    <x v="6"/>
    <x v="151"/>
    <x v="66"/>
    <x v="764"/>
  </r>
  <r>
    <x v="1"/>
    <x v="222"/>
    <x v="66"/>
    <x v="765"/>
  </r>
  <r>
    <x v="2"/>
    <x v="115"/>
    <x v="66"/>
    <x v="766"/>
  </r>
  <r>
    <x v="17"/>
    <x v="106"/>
    <x v="66"/>
    <x v="342"/>
  </r>
  <r>
    <x v="3"/>
    <x v="147"/>
    <x v="66"/>
    <x v="767"/>
  </r>
  <r>
    <x v="4"/>
    <x v="7"/>
    <x v="66"/>
    <x v="768"/>
  </r>
  <r>
    <x v="4"/>
    <x v="94"/>
    <x v="66"/>
    <x v="769"/>
  </r>
  <r>
    <x v="5"/>
    <x v="78"/>
    <x v="67"/>
    <x v="770"/>
  </r>
  <r>
    <x v="0"/>
    <x v="185"/>
    <x v="67"/>
    <x v="771"/>
  </r>
  <r>
    <x v="0"/>
    <x v="216"/>
    <x v="67"/>
    <x v="772"/>
  </r>
  <r>
    <x v="7"/>
    <x v="214"/>
    <x v="67"/>
    <x v="773"/>
  </r>
  <r>
    <x v="3"/>
    <x v="33"/>
    <x v="67"/>
    <x v="774"/>
  </r>
  <r>
    <x v="3"/>
    <x v="202"/>
    <x v="67"/>
    <x v="775"/>
  </r>
  <r>
    <x v="3"/>
    <x v="50"/>
    <x v="67"/>
    <x v="776"/>
  </r>
  <r>
    <x v="4"/>
    <x v="227"/>
    <x v="67"/>
    <x v="777"/>
  </r>
  <r>
    <x v="4"/>
    <x v="228"/>
    <x v="67"/>
    <x v="778"/>
  </r>
  <r>
    <x v="4"/>
    <x v="118"/>
    <x v="67"/>
    <x v="779"/>
  </r>
  <r>
    <x v="4"/>
    <x v="173"/>
    <x v="67"/>
    <x v="780"/>
  </r>
  <r>
    <x v="4"/>
    <x v="120"/>
    <x v="67"/>
    <x v="781"/>
  </r>
  <r>
    <x v="4"/>
    <x v="121"/>
    <x v="67"/>
    <x v="782"/>
  </r>
  <r>
    <x v="0"/>
    <x v="183"/>
    <x v="68"/>
    <x v="783"/>
  </r>
  <r>
    <x v="13"/>
    <x v="187"/>
    <x v="68"/>
    <x v="784"/>
  </r>
  <r>
    <x v="2"/>
    <x v="225"/>
    <x v="68"/>
    <x v="355"/>
  </r>
  <r>
    <x v="3"/>
    <x v="234"/>
    <x v="68"/>
    <x v="785"/>
  </r>
  <r>
    <x v="3"/>
    <x v="6"/>
    <x v="68"/>
    <x v="786"/>
  </r>
  <r>
    <x v="4"/>
    <x v="48"/>
    <x v="68"/>
    <x v="787"/>
  </r>
  <r>
    <x v="4"/>
    <x v="48"/>
    <x v="68"/>
    <x v="788"/>
  </r>
  <r>
    <x v="4"/>
    <x v="84"/>
    <x v="68"/>
    <x v="789"/>
  </r>
  <r>
    <x v="4"/>
    <x v="10"/>
    <x v="68"/>
    <x v="790"/>
  </r>
  <r>
    <x v="5"/>
    <x v="52"/>
    <x v="69"/>
    <x v="791"/>
  </r>
  <r>
    <x v="5"/>
    <x v="65"/>
    <x v="69"/>
    <x v="792"/>
  </r>
  <r>
    <x v="6"/>
    <x v="90"/>
    <x v="69"/>
    <x v="793"/>
  </r>
  <r>
    <x v="6"/>
    <x v="53"/>
    <x v="69"/>
    <x v="794"/>
  </r>
  <r>
    <x v="6"/>
    <x v="159"/>
    <x v="69"/>
    <x v="795"/>
  </r>
  <r>
    <x v="10"/>
    <x v="0"/>
    <x v="69"/>
    <x v="796"/>
  </r>
  <r>
    <x v="14"/>
    <x v="206"/>
    <x v="69"/>
    <x v="797"/>
  </r>
  <r>
    <x v="3"/>
    <x v="75"/>
    <x v="69"/>
    <x v="495"/>
  </r>
  <r>
    <x v="3"/>
    <x v="43"/>
    <x v="69"/>
    <x v="798"/>
  </r>
  <r>
    <x v="3"/>
    <x v="133"/>
    <x v="69"/>
    <x v="799"/>
  </r>
  <r>
    <x v="3"/>
    <x v="17"/>
    <x v="69"/>
    <x v="800"/>
  </r>
  <r>
    <x v="4"/>
    <x v="49"/>
    <x v="69"/>
    <x v="801"/>
  </r>
  <r>
    <x v="4"/>
    <x v="110"/>
    <x v="69"/>
    <x v="802"/>
  </r>
  <r>
    <x v="4"/>
    <x v="59"/>
    <x v="69"/>
    <x v="803"/>
  </r>
  <r>
    <x v="4"/>
    <x v="201"/>
    <x v="69"/>
    <x v="804"/>
  </r>
  <r>
    <x v="4"/>
    <x v="12"/>
    <x v="69"/>
    <x v="805"/>
  </r>
  <r>
    <x v="18"/>
    <x v="155"/>
    <x v="70"/>
    <x v="806"/>
  </r>
  <r>
    <x v="5"/>
    <x v="157"/>
    <x v="70"/>
    <x v="807"/>
  </r>
  <r>
    <x v="5"/>
    <x v="130"/>
    <x v="70"/>
    <x v="808"/>
  </r>
  <r>
    <x v="5"/>
    <x v="193"/>
    <x v="70"/>
    <x v="809"/>
  </r>
  <r>
    <x v="5"/>
    <x v="12"/>
    <x v="70"/>
    <x v="810"/>
  </r>
  <r>
    <x v="0"/>
    <x v="27"/>
    <x v="70"/>
    <x v="811"/>
  </r>
  <r>
    <x v="10"/>
    <x v="124"/>
    <x v="70"/>
    <x v="812"/>
  </r>
  <r>
    <x v="10"/>
    <x v="101"/>
    <x v="70"/>
    <x v="813"/>
  </r>
  <r>
    <x v="10"/>
    <x v="188"/>
    <x v="70"/>
    <x v="814"/>
  </r>
  <r>
    <x v="7"/>
    <x v="54"/>
    <x v="70"/>
    <x v="815"/>
  </r>
  <r>
    <x v="7"/>
    <x v="46"/>
    <x v="70"/>
    <x v="816"/>
  </r>
  <r>
    <x v="3"/>
    <x v="56"/>
    <x v="70"/>
    <x v="817"/>
  </r>
  <r>
    <x v="3"/>
    <x v="202"/>
    <x v="70"/>
    <x v="818"/>
  </r>
  <r>
    <x v="3"/>
    <x v="31"/>
    <x v="70"/>
    <x v="819"/>
  </r>
  <r>
    <x v="3"/>
    <x v="47"/>
    <x v="70"/>
    <x v="820"/>
  </r>
  <r>
    <x v="3"/>
    <x v="72"/>
    <x v="70"/>
    <x v="821"/>
  </r>
  <r>
    <x v="3"/>
    <x v="128"/>
    <x v="70"/>
    <x v="822"/>
  </r>
  <r>
    <x v="4"/>
    <x v="19"/>
    <x v="70"/>
    <x v="823"/>
  </r>
  <r>
    <x v="4"/>
    <x v="110"/>
    <x v="70"/>
    <x v="824"/>
  </r>
  <r>
    <x v="4"/>
    <x v="9"/>
    <x v="70"/>
    <x v="825"/>
  </r>
  <r>
    <x v="4"/>
    <x v="51"/>
    <x v="70"/>
    <x v="826"/>
  </r>
  <r>
    <x v="12"/>
    <x v="37"/>
    <x v="71"/>
    <x v="827"/>
  </r>
  <r>
    <x v="6"/>
    <x v="195"/>
    <x v="71"/>
    <x v="828"/>
  </r>
  <r>
    <x v="2"/>
    <x v="209"/>
    <x v="71"/>
    <x v="829"/>
  </r>
  <r>
    <x v="2"/>
    <x v="41"/>
    <x v="71"/>
    <x v="830"/>
  </r>
  <r>
    <x v="2"/>
    <x v="162"/>
    <x v="71"/>
    <x v="158"/>
  </r>
  <r>
    <x v="3"/>
    <x v="116"/>
    <x v="71"/>
    <x v="831"/>
  </r>
  <r>
    <x v="3"/>
    <x v="148"/>
    <x v="71"/>
    <x v="832"/>
  </r>
  <r>
    <x v="4"/>
    <x v="58"/>
    <x v="71"/>
    <x v="833"/>
  </r>
  <r>
    <x v="4"/>
    <x v="141"/>
    <x v="71"/>
    <x v="834"/>
  </r>
  <r>
    <x v="4"/>
    <x v="9"/>
    <x v="71"/>
    <x v="835"/>
  </r>
  <r>
    <x v="4"/>
    <x v="12"/>
    <x v="71"/>
    <x v="836"/>
  </r>
  <r>
    <x v="12"/>
    <x v="26"/>
    <x v="72"/>
    <x v="837"/>
  </r>
  <r>
    <x v="14"/>
    <x v="218"/>
    <x v="72"/>
    <x v="838"/>
  </r>
  <r>
    <x v="3"/>
    <x v="73"/>
    <x v="72"/>
    <x v="839"/>
  </r>
  <r>
    <x v="4"/>
    <x v="34"/>
    <x v="72"/>
    <x v="840"/>
  </r>
  <r>
    <x v="4"/>
    <x v="62"/>
    <x v="72"/>
    <x v="841"/>
  </r>
  <r>
    <x v="4"/>
    <x v="77"/>
    <x v="72"/>
    <x v="842"/>
  </r>
  <r>
    <x v="4"/>
    <x v="50"/>
    <x v="72"/>
    <x v="843"/>
  </r>
  <r>
    <x v="4"/>
    <x v="111"/>
    <x v="72"/>
    <x v="844"/>
  </r>
  <r>
    <x v="4"/>
    <x v="11"/>
    <x v="72"/>
    <x v="845"/>
  </r>
  <r>
    <x v="5"/>
    <x v="95"/>
    <x v="73"/>
    <x v="846"/>
  </r>
  <r>
    <x v="9"/>
    <x v="97"/>
    <x v="73"/>
    <x v="847"/>
  </r>
  <r>
    <x v="15"/>
    <x v="180"/>
    <x v="73"/>
    <x v="848"/>
  </r>
  <r>
    <x v="6"/>
    <x v="88"/>
    <x v="73"/>
    <x v="849"/>
  </r>
  <r>
    <x v="10"/>
    <x v="80"/>
    <x v="73"/>
    <x v="850"/>
  </r>
  <r>
    <x v="11"/>
    <x v="30"/>
    <x v="73"/>
    <x v="851"/>
  </r>
  <r>
    <x v="14"/>
    <x v="55"/>
    <x v="73"/>
    <x v="852"/>
  </r>
  <r>
    <x v="3"/>
    <x v="32"/>
    <x v="73"/>
    <x v="853"/>
  </r>
  <r>
    <x v="3"/>
    <x v="108"/>
    <x v="73"/>
    <x v="854"/>
  </r>
  <r>
    <x v="3"/>
    <x v="17"/>
    <x v="73"/>
    <x v="855"/>
  </r>
  <r>
    <x v="4"/>
    <x v="18"/>
    <x v="73"/>
    <x v="856"/>
  </r>
  <r>
    <x v="4"/>
    <x v="34"/>
    <x v="73"/>
    <x v="857"/>
  </r>
  <r>
    <x v="4"/>
    <x v="236"/>
    <x v="73"/>
    <x v="858"/>
  </r>
  <r>
    <x v="5"/>
    <x v="64"/>
    <x v="74"/>
    <x v="859"/>
  </r>
  <r>
    <x v="15"/>
    <x v="89"/>
    <x v="74"/>
    <x v="860"/>
  </r>
  <r>
    <x v="6"/>
    <x v="25"/>
    <x v="74"/>
    <x v="861"/>
  </r>
  <r>
    <x v="1"/>
    <x v="79"/>
    <x v="74"/>
    <x v="862"/>
  </r>
  <r>
    <x v="2"/>
    <x v="91"/>
    <x v="74"/>
    <x v="863"/>
  </r>
  <r>
    <x v="2"/>
    <x v="164"/>
    <x v="74"/>
    <x v="864"/>
  </r>
  <r>
    <x v="3"/>
    <x v="57"/>
    <x v="74"/>
    <x v="865"/>
  </r>
  <r>
    <x v="3"/>
    <x v="73"/>
    <x v="74"/>
    <x v="866"/>
  </r>
  <r>
    <x v="4"/>
    <x v="129"/>
    <x v="74"/>
    <x v="867"/>
  </r>
  <r>
    <x v="4"/>
    <x v="19"/>
    <x v="74"/>
    <x v="868"/>
  </r>
  <r>
    <x v="4"/>
    <x v="173"/>
    <x v="74"/>
    <x v="869"/>
  </r>
  <r>
    <x v="15"/>
    <x v="138"/>
    <x v="75"/>
    <x v="870"/>
  </r>
  <r>
    <x v="6"/>
    <x v="203"/>
    <x v="75"/>
    <x v="871"/>
  </r>
  <r>
    <x v="1"/>
    <x v="1"/>
    <x v="75"/>
    <x v="872"/>
  </r>
  <r>
    <x v="10"/>
    <x v="175"/>
    <x v="75"/>
    <x v="873"/>
  </r>
  <r>
    <x v="7"/>
    <x v="126"/>
    <x v="75"/>
    <x v="874"/>
  </r>
  <r>
    <x v="7"/>
    <x v="15"/>
    <x v="75"/>
    <x v="875"/>
  </r>
  <r>
    <x v="2"/>
    <x v="210"/>
    <x v="75"/>
    <x v="876"/>
  </r>
  <r>
    <x v="2"/>
    <x v="105"/>
    <x v="75"/>
    <x v="877"/>
  </r>
  <r>
    <x v="3"/>
    <x v="43"/>
    <x v="75"/>
    <x v="878"/>
  </r>
  <r>
    <x v="3"/>
    <x v="31"/>
    <x v="75"/>
    <x v="879"/>
  </r>
  <r>
    <x v="3"/>
    <x v="166"/>
    <x v="75"/>
    <x v="880"/>
  </r>
  <r>
    <x v="4"/>
    <x v="76"/>
    <x v="75"/>
    <x v="881"/>
  </r>
  <r>
    <x v="4"/>
    <x v="76"/>
    <x v="75"/>
    <x v="245"/>
  </r>
  <r>
    <x v="4"/>
    <x v="34"/>
    <x v="75"/>
    <x v="882"/>
  </r>
  <r>
    <x v="8"/>
    <x v="189"/>
    <x v="76"/>
    <x v="0"/>
  </r>
  <r>
    <x v="5"/>
    <x v="86"/>
    <x v="76"/>
    <x v="883"/>
  </r>
  <r>
    <x v="5"/>
    <x v="13"/>
    <x v="76"/>
    <x v="884"/>
  </r>
  <r>
    <x v="5"/>
    <x v="135"/>
    <x v="76"/>
    <x v="885"/>
  </r>
  <r>
    <x v="19"/>
    <x v="230"/>
    <x v="76"/>
    <x v="886"/>
  </r>
  <r>
    <x v="6"/>
    <x v="98"/>
    <x v="76"/>
    <x v="887"/>
  </r>
  <r>
    <x v="3"/>
    <x v="116"/>
    <x v="76"/>
    <x v="888"/>
  </r>
  <r>
    <x v="3"/>
    <x v="92"/>
    <x v="76"/>
    <x v="889"/>
  </r>
  <r>
    <x v="3"/>
    <x v="226"/>
    <x v="76"/>
    <x v="890"/>
  </r>
  <r>
    <x v="4"/>
    <x v="19"/>
    <x v="76"/>
    <x v="891"/>
  </r>
  <r>
    <x v="9"/>
    <x v="179"/>
    <x v="77"/>
    <x v="892"/>
  </r>
  <r>
    <x v="1"/>
    <x v="99"/>
    <x v="77"/>
    <x v="893"/>
  </r>
  <r>
    <x v="4"/>
    <x v="35"/>
    <x v="77"/>
    <x v="894"/>
  </r>
  <r>
    <x v="4"/>
    <x v="83"/>
    <x v="77"/>
    <x v="895"/>
  </r>
  <r>
    <x v="4"/>
    <x v="51"/>
    <x v="77"/>
    <x v="896"/>
  </r>
  <r>
    <x v="4"/>
    <x v="152"/>
    <x v="77"/>
    <x v="897"/>
  </r>
  <r>
    <x v="5"/>
    <x v="220"/>
    <x v="78"/>
    <x v="898"/>
  </r>
  <r>
    <x v="6"/>
    <x v="131"/>
    <x v="78"/>
    <x v="899"/>
  </r>
  <r>
    <x v="7"/>
    <x v="186"/>
    <x v="78"/>
    <x v="900"/>
  </r>
  <r>
    <x v="3"/>
    <x v="234"/>
    <x v="78"/>
    <x v="901"/>
  </r>
  <r>
    <x v="3"/>
    <x v="74"/>
    <x v="78"/>
    <x v="902"/>
  </r>
  <r>
    <x v="3"/>
    <x v="139"/>
    <x v="78"/>
    <x v="903"/>
  </r>
  <r>
    <x v="4"/>
    <x v="34"/>
    <x v="78"/>
    <x v="904"/>
  </r>
  <r>
    <x v="4"/>
    <x v="215"/>
    <x v="78"/>
    <x v="905"/>
  </r>
  <r>
    <x v="4"/>
    <x v="118"/>
    <x v="78"/>
    <x v="906"/>
  </r>
  <r>
    <x v="12"/>
    <x v="85"/>
    <x v="79"/>
    <x v="907"/>
  </r>
  <r>
    <x v="9"/>
    <x v="229"/>
    <x v="79"/>
    <x v="908"/>
  </r>
  <r>
    <x v="1"/>
    <x v="137"/>
    <x v="79"/>
    <x v="909"/>
  </r>
  <r>
    <x v="13"/>
    <x v="40"/>
    <x v="79"/>
    <x v="910"/>
  </r>
  <r>
    <x v="14"/>
    <x v="197"/>
    <x v="79"/>
    <x v="911"/>
  </r>
  <r>
    <x v="3"/>
    <x v="47"/>
    <x v="79"/>
    <x v="912"/>
  </r>
  <r>
    <x v="3"/>
    <x v="5"/>
    <x v="79"/>
    <x v="913"/>
  </r>
  <r>
    <x v="4"/>
    <x v="76"/>
    <x v="79"/>
    <x v="914"/>
  </r>
  <r>
    <x v="4"/>
    <x v="77"/>
    <x v="79"/>
    <x v="915"/>
  </r>
  <r>
    <x v="4"/>
    <x v="119"/>
    <x v="79"/>
    <x v="916"/>
  </r>
  <r>
    <x v="8"/>
    <x v="231"/>
    <x v="80"/>
    <x v="917"/>
  </r>
  <r>
    <x v="8"/>
    <x v="21"/>
    <x v="80"/>
    <x v="918"/>
  </r>
  <r>
    <x v="5"/>
    <x v="35"/>
    <x v="80"/>
    <x v="919"/>
  </r>
  <r>
    <x v="5"/>
    <x v="129"/>
    <x v="80"/>
    <x v="920"/>
  </r>
  <r>
    <x v="10"/>
    <x v="100"/>
    <x v="80"/>
    <x v="921"/>
  </r>
  <r>
    <x v="7"/>
    <x v="171"/>
    <x v="80"/>
    <x v="922"/>
  </r>
  <r>
    <x v="7"/>
    <x v="192"/>
    <x v="80"/>
    <x v="923"/>
  </r>
  <r>
    <x v="14"/>
    <x v="172"/>
    <x v="80"/>
    <x v="0"/>
  </r>
  <r>
    <x v="2"/>
    <x v="209"/>
    <x v="80"/>
    <x v="924"/>
  </r>
  <r>
    <x v="2"/>
    <x v="109"/>
    <x v="80"/>
    <x v="925"/>
  </r>
  <r>
    <x v="4"/>
    <x v="227"/>
    <x v="80"/>
    <x v="926"/>
  </r>
  <r>
    <x v="5"/>
    <x v="135"/>
    <x v="81"/>
    <x v="927"/>
  </r>
  <r>
    <x v="0"/>
    <x v="223"/>
    <x v="81"/>
    <x v="928"/>
  </r>
  <r>
    <x v="15"/>
    <x v="144"/>
    <x v="81"/>
    <x v="929"/>
  </r>
  <r>
    <x v="1"/>
    <x v="204"/>
    <x v="81"/>
    <x v="930"/>
  </r>
  <r>
    <x v="10"/>
    <x v="123"/>
    <x v="81"/>
    <x v="931"/>
  </r>
  <r>
    <x v="14"/>
    <x v="158"/>
    <x v="81"/>
    <x v="932"/>
  </r>
  <r>
    <x v="3"/>
    <x v="141"/>
    <x v="81"/>
    <x v="933"/>
  </r>
  <r>
    <x v="4"/>
    <x v="167"/>
    <x v="81"/>
    <x v="934"/>
  </r>
  <r>
    <x v="4"/>
    <x v="94"/>
    <x v="81"/>
    <x v="935"/>
  </r>
  <r>
    <x v="4"/>
    <x v="77"/>
    <x v="81"/>
    <x v="936"/>
  </r>
  <r>
    <x v="4"/>
    <x v="17"/>
    <x v="81"/>
    <x v="937"/>
  </r>
  <r>
    <x v="4"/>
    <x v="10"/>
    <x v="81"/>
    <x v="938"/>
  </r>
  <r>
    <x v="4"/>
    <x v="11"/>
    <x v="81"/>
    <x v="939"/>
  </r>
  <r>
    <x v="5"/>
    <x v="60"/>
    <x v="82"/>
    <x v="940"/>
  </r>
  <r>
    <x v="15"/>
    <x v="221"/>
    <x v="82"/>
    <x v="941"/>
  </r>
  <r>
    <x v="3"/>
    <x v="4"/>
    <x v="82"/>
    <x v="942"/>
  </r>
  <r>
    <x v="3"/>
    <x v="108"/>
    <x v="82"/>
    <x v="943"/>
  </r>
  <r>
    <x v="4"/>
    <x v="75"/>
    <x v="82"/>
    <x v="944"/>
  </r>
  <r>
    <x v="4"/>
    <x v="48"/>
    <x v="82"/>
    <x v="945"/>
  </r>
  <r>
    <x v="4"/>
    <x v="117"/>
    <x v="82"/>
    <x v="946"/>
  </r>
  <r>
    <x v="4"/>
    <x v="129"/>
    <x v="82"/>
    <x v="947"/>
  </r>
  <r>
    <x v="4"/>
    <x v="173"/>
    <x v="82"/>
    <x v="948"/>
  </r>
  <r>
    <x v="4"/>
    <x v="111"/>
    <x v="82"/>
    <x v="949"/>
  </r>
  <r>
    <x v="4"/>
    <x v="121"/>
    <x v="82"/>
    <x v="950"/>
  </r>
  <r>
    <x v="4"/>
    <x v="12"/>
    <x v="82"/>
    <x v="951"/>
  </r>
  <r>
    <x v="5"/>
    <x v="66"/>
    <x v="83"/>
    <x v="952"/>
  </r>
  <r>
    <x v="0"/>
    <x v="67"/>
    <x v="83"/>
    <x v="953"/>
  </r>
  <r>
    <x v="0"/>
    <x v="113"/>
    <x v="83"/>
    <x v="954"/>
  </r>
  <r>
    <x v="6"/>
    <x v="14"/>
    <x v="83"/>
    <x v="0"/>
  </r>
  <r>
    <x v="10"/>
    <x v="28"/>
    <x v="83"/>
    <x v="0"/>
  </r>
  <r>
    <x v="13"/>
    <x v="39"/>
    <x v="83"/>
    <x v="955"/>
  </r>
  <r>
    <x v="2"/>
    <x v="3"/>
    <x v="83"/>
    <x v="956"/>
  </r>
  <r>
    <x v="3"/>
    <x v="22"/>
    <x v="83"/>
    <x v="451"/>
  </r>
  <r>
    <x v="4"/>
    <x v="7"/>
    <x v="83"/>
    <x v="957"/>
  </r>
  <r>
    <x v="4"/>
    <x v="83"/>
    <x v="83"/>
    <x v="958"/>
  </r>
  <r>
    <x v="5"/>
    <x v="182"/>
    <x v="84"/>
    <x v="959"/>
  </r>
  <r>
    <x v="5"/>
    <x v="208"/>
    <x v="84"/>
    <x v="960"/>
  </r>
  <r>
    <x v="5"/>
    <x v="130"/>
    <x v="84"/>
    <x v="961"/>
  </r>
  <r>
    <x v="10"/>
    <x v="61"/>
    <x v="84"/>
    <x v="962"/>
  </r>
  <r>
    <x v="11"/>
    <x v="29"/>
    <x v="84"/>
    <x v="963"/>
  </r>
  <r>
    <x v="2"/>
    <x v="146"/>
    <x v="84"/>
    <x v="964"/>
  </r>
  <r>
    <x v="4"/>
    <x v="167"/>
    <x v="84"/>
    <x v="965"/>
  </r>
  <r>
    <x v="4"/>
    <x v="10"/>
    <x v="84"/>
    <x v="966"/>
  </r>
  <r>
    <x v="4"/>
    <x v="12"/>
    <x v="84"/>
    <x v="967"/>
  </r>
  <r>
    <x v="5"/>
    <x v="136"/>
    <x v="85"/>
    <x v="968"/>
  </r>
  <r>
    <x v="0"/>
    <x v="143"/>
    <x v="85"/>
    <x v="969"/>
  </r>
  <r>
    <x v="11"/>
    <x v="212"/>
    <x v="85"/>
    <x v="970"/>
  </r>
  <r>
    <x v="7"/>
    <x v="205"/>
    <x v="85"/>
    <x v="971"/>
  </r>
  <r>
    <x v="2"/>
    <x v="70"/>
    <x v="85"/>
    <x v="972"/>
  </r>
  <r>
    <x v="3"/>
    <x v="56"/>
    <x v="85"/>
    <x v="973"/>
  </r>
  <r>
    <x v="3"/>
    <x v="211"/>
    <x v="85"/>
    <x v="974"/>
  </r>
  <r>
    <x v="3"/>
    <x v="128"/>
    <x v="85"/>
    <x v="120"/>
  </r>
  <r>
    <x v="4"/>
    <x v="57"/>
    <x v="85"/>
    <x v="975"/>
  </r>
  <r>
    <x v="4"/>
    <x v="77"/>
    <x v="85"/>
    <x v="976"/>
  </r>
  <r>
    <x v="4"/>
    <x v="59"/>
    <x v="85"/>
    <x v="977"/>
  </r>
  <r>
    <x v="4"/>
    <x v="152"/>
    <x v="85"/>
    <x v="978"/>
  </r>
  <r>
    <x v="5"/>
    <x v="45"/>
    <x v="86"/>
    <x v="979"/>
  </r>
  <r>
    <x v="5"/>
    <x v="178"/>
    <x v="86"/>
    <x v="980"/>
  </r>
  <r>
    <x v="7"/>
    <x v="150"/>
    <x v="86"/>
    <x v="981"/>
  </r>
  <r>
    <x v="2"/>
    <x v="233"/>
    <x v="86"/>
    <x v="137"/>
  </r>
  <r>
    <x v="4"/>
    <x v="62"/>
    <x v="86"/>
    <x v="982"/>
  </r>
  <r>
    <x v="4"/>
    <x v="58"/>
    <x v="86"/>
    <x v="983"/>
  </r>
  <r>
    <x v="4"/>
    <x v="141"/>
    <x v="86"/>
    <x v="984"/>
  </r>
  <r>
    <x v="4"/>
    <x v="63"/>
    <x v="86"/>
    <x v="985"/>
  </r>
  <r>
    <x v="4"/>
    <x v="20"/>
    <x v="86"/>
    <x v="986"/>
  </r>
  <r>
    <x v="6"/>
    <x v="169"/>
    <x v="87"/>
    <x v="987"/>
  </r>
  <r>
    <x v="10"/>
    <x v="200"/>
    <x v="87"/>
    <x v="988"/>
  </r>
  <r>
    <x v="10"/>
    <x v="145"/>
    <x v="87"/>
    <x v="989"/>
  </r>
  <r>
    <x v="7"/>
    <x v="71"/>
    <x v="87"/>
    <x v="990"/>
  </r>
  <r>
    <x v="3"/>
    <x v="147"/>
    <x v="87"/>
    <x v="991"/>
  </r>
  <r>
    <x v="3"/>
    <x v="235"/>
    <x v="87"/>
    <x v="992"/>
  </r>
  <r>
    <x v="4"/>
    <x v="58"/>
    <x v="87"/>
    <x v="993"/>
  </r>
  <r>
    <x v="2"/>
    <x v="41"/>
    <x v="88"/>
    <x v="994"/>
  </r>
  <r>
    <x v="3"/>
    <x v="165"/>
    <x v="88"/>
    <x v="995"/>
  </r>
  <r>
    <x v="3"/>
    <x v="134"/>
    <x v="88"/>
    <x v="996"/>
  </r>
  <r>
    <x v="3"/>
    <x v="74"/>
    <x v="88"/>
    <x v="997"/>
  </r>
  <r>
    <x v="4"/>
    <x v="57"/>
    <x v="88"/>
    <x v="998"/>
  </r>
  <r>
    <x v="4"/>
    <x v="82"/>
    <x v="88"/>
    <x v="999"/>
  </r>
  <r>
    <x v="4"/>
    <x v="50"/>
    <x v="88"/>
    <x v="1000"/>
  </r>
  <r>
    <x v="4"/>
    <x v="111"/>
    <x v="88"/>
    <x v="1001"/>
  </r>
  <r>
    <x v="4"/>
    <x v="152"/>
    <x v="88"/>
    <x v="1002"/>
  </r>
  <r>
    <x v="4"/>
    <x v="152"/>
    <x v="88"/>
    <x v="1003"/>
  </r>
  <r>
    <x v="4"/>
    <x v="12"/>
    <x v="88"/>
    <x v="1004"/>
  </r>
  <r>
    <x v="12"/>
    <x v="127"/>
    <x v="89"/>
    <x v="1005"/>
  </r>
  <r>
    <x v="5"/>
    <x v="114"/>
    <x v="89"/>
    <x v="1006"/>
  </r>
  <r>
    <x v="15"/>
    <x v="68"/>
    <x v="89"/>
    <x v="1007"/>
  </r>
  <r>
    <x v="10"/>
    <x v="217"/>
    <x v="89"/>
    <x v="1008"/>
  </r>
  <r>
    <x v="10"/>
    <x v="191"/>
    <x v="89"/>
    <x v="1009"/>
  </r>
  <r>
    <x v="7"/>
    <x v="102"/>
    <x v="89"/>
    <x v="1010"/>
  </r>
  <r>
    <x v="2"/>
    <x v="163"/>
    <x v="89"/>
    <x v="1011"/>
  </r>
  <r>
    <x v="4"/>
    <x v="36"/>
    <x v="89"/>
    <x v="1012"/>
  </r>
  <r>
    <x v="4"/>
    <x v="140"/>
    <x v="89"/>
    <x v="1013"/>
  </r>
  <r>
    <x v="4"/>
    <x v="121"/>
    <x v="89"/>
    <x v="1014"/>
  </r>
  <r>
    <x v="5"/>
    <x v="156"/>
    <x v="90"/>
    <x v="1015"/>
  </r>
  <r>
    <x v="2"/>
    <x v="146"/>
    <x v="90"/>
    <x v="1016"/>
  </r>
  <r>
    <x v="3"/>
    <x v="4"/>
    <x v="90"/>
    <x v="1017"/>
  </r>
  <r>
    <x v="3"/>
    <x v="234"/>
    <x v="90"/>
    <x v="1018"/>
  </r>
  <r>
    <x v="4"/>
    <x v="82"/>
    <x v="90"/>
    <x v="1019"/>
  </r>
  <r>
    <x v="4"/>
    <x v="18"/>
    <x v="90"/>
    <x v="1020"/>
  </r>
  <r>
    <x v="4"/>
    <x v="215"/>
    <x v="90"/>
    <x v="1021"/>
  </r>
  <r>
    <x v="10"/>
    <x v="191"/>
    <x v="91"/>
    <x v="1022"/>
  </r>
  <r>
    <x v="7"/>
    <x v="161"/>
    <x v="91"/>
    <x v="1023"/>
  </r>
  <r>
    <x v="2"/>
    <x v="5"/>
    <x v="91"/>
    <x v="1024"/>
  </r>
  <r>
    <x v="3"/>
    <x v="165"/>
    <x v="91"/>
    <x v="1025"/>
  </r>
  <r>
    <x v="3"/>
    <x v="128"/>
    <x v="91"/>
    <x v="1026"/>
  </r>
  <r>
    <x v="4"/>
    <x v="227"/>
    <x v="91"/>
    <x v="1027"/>
  </r>
  <r>
    <x v="4"/>
    <x v="215"/>
    <x v="91"/>
    <x v="1028"/>
  </r>
  <r>
    <x v="4"/>
    <x v="215"/>
    <x v="91"/>
    <x v="1029"/>
  </r>
  <r>
    <x v="4"/>
    <x v="83"/>
    <x v="91"/>
    <x v="1030"/>
  </r>
  <r>
    <x v="4"/>
    <x v="140"/>
    <x v="91"/>
    <x v="1031"/>
  </r>
  <r>
    <x v="4"/>
    <x v="152"/>
    <x v="91"/>
    <x v="1032"/>
  </r>
  <r>
    <x v="6"/>
    <x v="25"/>
    <x v="92"/>
    <x v="1033"/>
  </r>
  <r>
    <x v="10"/>
    <x v="53"/>
    <x v="92"/>
    <x v="1034"/>
  </r>
  <r>
    <x v="3"/>
    <x v="22"/>
    <x v="92"/>
    <x v="1035"/>
  </r>
  <r>
    <x v="4"/>
    <x v="75"/>
    <x v="92"/>
    <x v="1036"/>
  </r>
  <r>
    <x v="4"/>
    <x v="76"/>
    <x v="92"/>
    <x v="1037"/>
  </r>
  <r>
    <x v="4"/>
    <x v="129"/>
    <x v="92"/>
    <x v="1038"/>
  </r>
  <r>
    <x v="4"/>
    <x v="215"/>
    <x v="92"/>
    <x v="1039"/>
  </r>
  <r>
    <x v="4"/>
    <x v="173"/>
    <x v="92"/>
    <x v="1040"/>
  </r>
  <r>
    <x v="4"/>
    <x v="141"/>
    <x v="92"/>
    <x v="1041"/>
  </r>
  <r>
    <x v="4"/>
    <x v="51"/>
    <x v="92"/>
    <x v="1042"/>
  </r>
  <r>
    <x v="4"/>
    <x v="10"/>
    <x v="92"/>
    <x v="1043"/>
  </r>
  <r>
    <x v="5"/>
    <x v="130"/>
    <x v="93"/>
    <x v="1044"/>
  </r>
  <r>
    <x v="0"/>
    <x v="216"/>
    <x v="93"/>
    <x v="1045"/>
  </r>
  <r>
    <x v="15"/>
    <x v="221"/>
    <x v="93"/>
    <x v="0"/>
  </r>
  <r>
    <x v="6"/>
    <x v="160"/>
    <x v="93"/>
    <x v="1046"/>
  </r>
  <r>
    <x v="1"/>
    <x v="79"/>
    <x v="93"/>
    <x v="1047"/>
  </r>
  <r>
    <x v="1"/>
    <x v="99"/>
    <x v="93"/>
    <x v="1048"/>
  </r>
  <r>
    <x v="7"/>
    <x v="213"/>
    <x v="93"/>
    <x v="1049"/>
  </r>
  <r>
    <x v="13"/>
    <x v="24"/>
    <x v="93"/>
    <x v="1050"/>
  </r>
  <r>
    <x v="3"/>
    <x v="219"/>
    <x v="93"/>
    <x v="1051"/>
  </r>
  <r>
    <x v="3"/>
    <x v="47"/>
    <x v="93"/>
    <x v="137"/>
  </r>
  <r>
    <x v="4"/>
    <x v="110"/>
    <x v="93"/>
    <x v="1052"/>
  </r>
  <r>
    <x v="4"/>
    <x v="120"/>
    <x v="93"/>
    <x v="1053"/>
  </r>
  <r>
    <x v="5"/>
    <x v="174"/>
    <x v="94"/>
    <x v="1054"/>
  </r>
  <r>
    <x v="5"/>
    <x v="136"/>
    <x v="94"/>
    <x v="1055"/>
  </r>
  <r>
    <x v="7"/>
    <x v="46"/>
    <x v="94"/>
    <x v="0"/>
  </r>
  <r>
    <x v="7"/>
    <x v="15"/>
    <x v="94"/>
    <x v="1056"/>
  </r>
  <r>
    <x v="2"/>
    <x v="207"/>
    <x v="94"/>
    <x v="1057"/>
  </r>
  <r>
    <x v="2"/>
    <x v="170"/>
    <x v="94"/>
    <x v="1058"/>
  </r>
  <r>
    <x v="2"/>
    <x v="3"/>
    <x v="94"/>
    <x v="1059"/>
  </r>
  <r>
    <x v="3"/>
    <x v="43"/>
    <x v="94"/>
    <x v="1060"/>
  </r>
  <r>
    <x v="4"/>
    <x v="153"/>
    <x v="94"/>
    <x v="1061"/>
  </r>
  <r>
    <x v="4"/>
    <x v="50"/>
    <x v="94"/>
    <x v="1062"/>
  </r>
  <r>
    <x v="4"/>
    <x v="140"/>
    <x v="94"/>
    <x v="1063"/>
  </r>
  <r>
    <x v="5"/>
    <x v="45"/>
    <x v="95"/>
    <x v="1064"/>
  </r>
  <r>
    <x v="5"/>
    <x v="78"/>
    <x v="95"/>
    <x v="1065"/>
  </r>
  <r>
    <x v="5"/>
    <x v="64"/>
    <x v="95"/>
    <x v="1066"/>
  </r>
  <r>
    <x v="0"/>
    <x v="122"/>
    <x v="95"/>
    <x v="1067"/>
  </r>
  <r>
    <x v="6"/>
    <x v="90"/>
    <x v="95"/>
    <x v="1068"/>
  </r>
  <r>
    <x v="6"/>
    <x v="159"/>
    <x v="95"/>
    <x v="1069"/>
  </r>
  <r>
    <x v="1"/>
    <x v="1"/>
    <x v="95"/>
    <x v="1070"/>
  </r>
  <r>
    <x v="10"/>
    <x v="124"/>
    <x v="95"/>
    <x v="1071"/>
  </r>
  <r>
    <x v="16"/>
    <x v="81"/>
    <x v="95"/>
    <x v="1072"/>
  </r>
  <r>
    <x v="4"/>
    <x v="117"/>
    <x v="95"/>
    <x v="1073"/>
  </r>
  <r>
    <x v="5"/>
    <x v="52"/>
    <x v="96"/>
    <x v="1074"/>
  </r>
  <r>
    <x v="11"/>
    <x v="212"/>
    <x v="96"/>
    <x v="1075"/>
  </r>
  <r>
    <x v="14"/>
    <x v="55"/>
    <x v="96"/>
    <x v="1076"/>
  </r>
  <r>
    <x v="3"/>
    <x v="31"/>
    <x v="96"/>
    <x v="1077"/>
  </r>
  <r>
    <x v="3"/>
    <x v="219"/>
    <x v="96"/>
    <x v="1078"/>
  </r>
  <r>
    <x v="3"/>
    <x v="235"/>
    <x v="96"/>
    <x v="1079"/>
  </r>
  <r>
    <x v="3"/>
    <x v="17"/>
    <x v="96"/>
    <x v="1080"/>
  </r>
  <r>
    <x v="4"/>
    <x v="11"/>
    <x v="96"/>
    <x v="1081"/>
  </r>
  <r>
    <x v="5"/>
    <x v="177"/>
    <x v="97"/>
    <x v="1082"/>
  </r>
  <r>
    <x v="0"/>
    <x v="113"/>
    <x v="97"/>
    <x v="1083"/>
  </r>
  <r>
    <x v="15"/>
    <x v="180"/>
    <x v="97"/>
    <x v="1084"/>
  </r>
  <r>
    <x v="7"/>
    <x v="176"/>
    <x v="97"/>
    <x v="1085"/>
  </r>
  <r>
    <x v="2"/>
    <x v="219"/>
    <x v="97"/>
    <x v="1086"/>
  </r>
  <r>
    <x v="3"/>
    <x v="43"/>
    <x v="97"/>
    <x v="1087"/>
  </r>
  <r>
    <x v="3"/>
    <x v="11"/>
    <x v="97"/>
    <x v="1088"/>
  </r>
  <r>
    <x v="4"/>
    <x v="19"/>
    <x v="97"/>
    <x v="1089"/>
  </r>
  <r>
    <x v="4"/>
    <x v="83"/>
    <x v="97"/>
    <x v="1090"/>
  </r>
  <r>
    <x v="12"/>
    <x v="183"/>
    <x v="98"/>
    <x v="1091"/>
  </r>
  <r>
    <x v="5"/>
    <x v="8"/>
    <x v="98"/>
    <x v="1092"/>
  </r>
  <r>
    <x v="5"/>
    <x v="107"/>
    <x v="98"/>
    <x v="1093"/>
  </r>
  <r>
    <x v="5"/>
    <x v="228"/>
    <x v="98"/>
    <x v="1094"/>
  </r>
  <r>
    <x v="5"/>
    <x v="139"/>
    <x v="98"/>
    <x v="1095"/>
  </r>
  <r>
    <x v="15"/>
    <x v="89"/>
    <x v="98"/>
    <x v="1096"/>
  </r>
  <r>
    <x v="6"/>
    <x v="98"/>
    <x v="98"/>
    <x v="1097"/>
  </r>
  <r>
    <x v="3"/>
    <x v="49"/>
    <x v="98"/>
    <x v="1098"/>
  </r>
  <r>
    <x v="4"/>
    <x v="57"/>
    <x v="98"/>
    <x v="1099"/>
  </r>
  <r>
    <x v="4"/>
    <x v="57"/>
    <x v="98"/>
    <x v="1100"/>
  </r>
  <r>
    <x v="4"/>
    <x v="118"/>
    <x v="98"/>
    <x v="1101"/>
  </r>
  <r>
    <x v="4"/>
    <x v="84"/>
    <x v="98"/>
    <x v="1102"/>
  </r>
  <r>
    <x v="4"/>
    <x v="63"/>
    <x v="98"/>
    <x v="1103"/>
  </r>
  <r>
    <x v="8"/>
    <x v="39"/>
    <x v="99"/>
    <x v="1104"/>
  </r>
  <r>
    <x v="5"/>
    <x v="147"/>
    <x v="99"/>
    <x v="1105"/>
  </r>
  <r>
    <x v="9"/>
    <x v="97"/>
    <x v="99"/>
    <x v="1106"/>
  </r>
  <r>
    <x v="7"/>
    <x v="186"/>
    <x v="99"/>
    <x v="1107"/>
  </r>
  <r>
    <x v="3"/>
    <x v="134"/>
    <x v="99"/>
    <x v="1108"/>
  </r>
  <r>
    <x v="4"/>
    <x v="153"/>
    <x v="99"/>
    <x v="1109"/>
  </r>
  <r>
    <x v="4"/>
    <x v="94"/>
    <x v="99"/>
    <x v="1110"/>
  </r>
  <r>
    <x v="4"/>
    <x v="62"/>
    <x v="99"/>
    <x v="1111"/>
  </r>
  <r>
    <x v="4"/>
    <x v="129"/>
    <x v="99"/>
    <x v="1112"/>
  </r>
  <r>
    <x v="4"/>
    <x v="110"/>
    <x v="99"/>
    <x v="1113"/>
  </r>
  <r>
    <x v="4"/>
    <x v="77"/>
    <x v="99"/>
    <x v="1114"/>
  </r>
  <r>
    <x v="4"/>
    <x v="9"/>
    <x v="99"/>
    <x v="1115"/>
  </r>
  <r>
    <x v="4"/>
    <x v="120"/>
    <x v="99"/>
    <x v="1116"/>
  </r>
  <r>
    <x v="12"/>
    <x v="26"/>
    <x v="100"/>
    <x v="1117"/>
  </r>
  <r>
    <x v="0"/>
    <x v="194"/>
    <x v="100"/>
    <x v="1118"/>
  </r>
  <r>
    <x v="10"/>
    <x v="80"/>
    <x v="100"/>
    <x v="1119"/>
  </r>
  <r>
    <x v="11"/>
    <x v="29"/>
    <x v="100"/>
    <x v="1120"/>
  </r>
  <r>
    <x v="7"/>
    <x v="168"/>
    <x v="100"/>
    <x v="1121"/>
  </r>
  <r>
    <x v="14"/>
    <x v="224"/>
    <x v="100"/>
    <x v="1122"/>
  </r>
  <r>
    <x v="2"/>
    <x v="71"/>
    <x v="100"/>
    <x v="128"/>
  </r>
  <r>
    <x v="3"/>
    <x v="202"/>
    <x v="100"/>
    <x v="1123"/>
  </r>
  <r>
    <x v="4"/>
    <x v="18"/>
    <x v="100"/>
    <x v="1124"/>
  </r>
  <r>
    <x v="8"/>
    <x v="189"/>
    <x v="101"/>
    <x v="1125"/>
  </r>
  <r>
    <x v="12"/>
    <x v="142"/>
    <x v="101"/>
    <x v="1126"/>
  </r>
  <r>
    <x v="2"/>
    <x v="104"/>
    <x v="101"/>
    <x v="1127"/>
  </r>
  <r>
    <x v="3"/>
    <x v="22"/>
    <x v="101"/>
    <x v="1128"/>
  </r>
  <r>
    <x v="3"/>
    <x v="32"/>
    <x v="101"/>
    <x v="1129"/>
  </r>
  <r>
    <x v="4"/>
    <x v="76"/>
    <x v="101"/>
    <x v="1130"/>
  </r>
  <r>
    <x v="4"/>
    <x v="58"/>
    <x v="101"/>
    <x v="1131"/>
  </r>
  <r>
    <x v="4"/>
    <x v="9"/>
    <x v="101"/>
    <x v="1132"/>
  </r>
  <r>
    <x v="4"/>
    <x v="148"/>
    <x v="101"/>
    <x v="1133"/>
  </r>
  <r>
    <x v="4"/>
    <x v="111"/>
    <x v="101"/>
    <x v="1134"/>
  </r>
  <r>
    <x v="4"/>
    <x v="10"/>
    <x v="101"/>
    <x v="1135"/>
  </r>
  <r>
    <x v="4"/>
    <x v="20"/>
    <x v="101"/>
    <x v="1136"/>
  </r>
  <r>
    <x v="4"/>
    <x v="12"/>
    <x v="101"/>
    <x v="1137"/>
  </r>
  <r>
    <x v="10"/>
    <x v="145"/>
    <x v="102"/>
    <x v="1138"/>
  </r>
  <r>
    <x v="2"/>
    <x v="2"/>
    <x v="102"/>
    <x v="1139"/>
  </r>
  <r>
    <x v="2"/>
    <x v="209"/>
    <x v="102"/>
    <x v="1140"/>
  </r>
  <r>
    <x v="2"/>
    <x v="70"/>
    <x v="102"/>
    <x v="1141"/>
  </r>
  <r>
    <x v="3"/>
    <x v="165"/>
    <x v="102"/>
    <x v="1142"/>
  </r>
  <r>
    <x v="4"/>
    <x v="140"/>
    <x v="102"/>
    <x v="1143"/>
  </r>
  <r>
    <x v="4"/>
    <x v="9"/>
    <x v="102"/>
    <x v="1144"/>
  </r>
  <r>
    <x v="4"/>
    <x v="51"/>
    <x v="102"/>
    <x v="1145"/>
  </r>
  <r>
    <x v="5"/>
    <x v="86"/>
    <x v="103"/>
    <x v="1146"/>
  </r>
  <r>
    <x v="7"/>
    <x v="217"/>
    <x v="103"/>
    <x v="1147"/>
  </r>
  <r>
    <x v="14"/>
    <x v="232"/>
    <x v="103"/>
    <x v="1148"/>
  </r>
  <r>
    <x v="3"/>
    <x v="226"/>
    <x v="103"/>
    <x v="1149"/>
  </r>
  <r>
    <x v="4"/>
    <x v="48"/>
    <x v="103"/>
    <x v="1150"/>
  </r>
  <r>
    <x v="4"/>
    <x v="83"/>
    <x v="103"/>
    <x v="1151"/>
  </r>
  <r>
    <x v="4"/>
    <x v="120"/>
    <x v="103"/>
    <x v="1152"/>
  </r>
  <r>
    <x v="5"/>
    <x v="193"/>
    <x v="104"/>
    <x v="1153"/>
  </r>
  <r>
    <x v="7"/>
    <x v="199"/>
    <x v="104"/>
    <x v="0"/>
  </r>
  <r>
    <x v="14"/>
    <x v="206"/>
    <x v="104"/>
    <x v="797"/>
  </r>
  <r>
    <x v="3"/>
    <x v="165"/>
    <x v="104"/>
    <x v="1154"/>
  </r>
  <r>
    <x v="4"/>
    <x v="57"/>
    <x v="104"/>
    <x v="1155"/>
  </r>
  <r>
    <x v="4"/>
    <x v="59"/>
    <x v="104"/>
    <x v="1156"/>
  </r>
  <r>
    <x v="4"/>
    <x v="10"/>
    <x v="104"/>
    <x v="1157"/>
  </r>
  <r>
    <x v="8"/>
    <x v="21"/>
    <x v="105"/>
    <x v="1158"/>
  </r>
  <r>
    <x v="5"/>
    <x v="233"/>
    <x v="105"/>
    <x v="1159"/>
  </r>
  <r>
    <x v="0"/>
    <x v="67"/>
    <x v="105"/>
    <x v="1160"/>
  </r>
  <r>
    <x v="15"/>
    <x v="198"/>
    <x v="105"/>
    <x v="1161"/>
  </r>
  <r>
    <x v="7"/>
    <x v="112"/>
    <x v="105"/>
    <x v="1162"/>
  </r>
  <r>
    <x v="2"/>
    <x v="178"/>
    <x v="105"/>
    <x v="1163"/>
  </r>
  <r>
    <x v="17"/>
    <x v="106"/>
    <x v="105"/>
    <x v="1164"/>
  </r>
  <r>
    <x v="3"/>
    <x v="92"/>
    <x v="105"/>
    <x v="1165"/>
  </r>
  <r>
    <x v="3"/>
    <x v="140"/>
    <x v="105"/>
    <x v="1166"/>
  </r>
  <r>
    <x v="3"/>
    <x v="108"/>
    <x v="105"/>
    <x v="1167"/>
  </r>
  <r>
    <x v="3"/>
    <x v="6"/>
    <x v="105"/>
    <x v="1168"/>
  </r>
  <r>
    <x v="4"/>
    <x v="7"/>
    <x v="105"/>
    <x v="1169"/>
  </r>
  <r>
    <x v="4"/>
    <x v="62"/>
    <x v="105"/>
    <x v="1170"/>
  </r>
  <r>
    <x v="4"/>
    <x v="62"/>
    <x v="105"/>
    <x v="1171"/>
  </r>
  <r>
    <x v="4"/>
    <x v="62"/>
    <x v="105"/>
    <x v="1172"/>
  </r>
  <r>
    <x v="4"/>
    <x v="140"/>
    <x v="105"/>
    <x v="1173"/>
  </r>
  <r>
    <x v="4"/>
    <x v="59"/>
    <x v="105"/>
    <x v="1174"/>
  </r>
  <r>
    <x v="4"/>
    <x v="119"/>
    <x v="105"/>
    <x v="1175"/>
  </r>
  <r>
    <x v="5"/>
    <x v="135"/>
    <x v="106"/>
    <x v="1176"/>
  </r>
  <r>
    <x v="0"/>
    <x v="38"/>
    <x v="106"/>
    <x v="1177"/>
  </r>
  <r>
    <x v="15"/>
    <x v="68"/>
    <x v="106"/>
    <x v="1178"/>
  </r>
  <r>
    <x v="6"/>
    <x v="151"/>
    <x v="106"/>
    <x v="1179"/>
  </r>
  <r>
    <x v="10"/>
    <x v="100"/>
    <x v="106"/>
    <x v="1180"/>
  </r>
  <r>
    <x v="10"/>
    <x v="175"/>
    <x v="106"/>
    <x v="1181"/>
  </r>
  <r>
    <x v="14"/>
    <x v="131"/>
    <x v="106"/>
    <x v="1182"/>
  </r>
  <r>
    <x v="2"/>
    <x v="42"/>
    <x v="106"/>
    <x v="1183"/>
  </r>
  <r>
    <x v="3"/>
    <x v="211"/>
    <x v="106"/>
    <x v="1184"/>
  </r>
  <r>
    <x v="3"/>
    <x v="31"/>
    <x v="106"/>
    <x v="1185"/>
  </r>
  <r>
    <x v="3"/>
    <x v="9"/>
    <x v="106"/>
    <x v="1186"/>
  </r>
  <r>
    <x v="4"/>
    <x v="50"/>
    <x v="106"/>
    <x v="1187"/>
  </r>
  <r>
    <x v="4"/>
    <x v="140"/>
    <x v="106"/>
    <x v="1188"/>
  </r>
  <r>
    <x v="12"/>
    <x v="154"/>
    <x v="107"/>
    <x v="1189"/>
  </r>
  <r>
    <x v="5"/>
    <x v="41"/>
    <x v="107"/>
    <x v="1190"/>
  </r>
  <r>
    <x v="9"/>
    <x v="229"/>
    <x v="107"/>
    <x v="1191"/>
  </r>
  <r>
    <x v="0"/>
    <x v="181"/>
    <x v="107"/>
    <x v="1192"/>
  </r>
  <r>
    <x v="13"/>
    <x v="40"/>
    <x v="107"/>
    <x v="1193"/>
  </r>
  <r>
    <x v="14"/>
    <x v="197"/>
    <x v="107"/>
    <x v="1194"/>
  </r>
  <r>
    <x v="3"/>
    <x v="128"/>
    <x v="107"/>
    <x v="1195"/>
  </r>
  <r>
    <x v="3"/>
    <x v="109"/>
    <x v="107"/>
    <x v="1196"/>
  </r>
  <r>
    <x v="4"/>
    <x v="4"/>
    <x v="107"/>
    <x v="1197"/>
  </r>
  <r>
    <x v="4"/>
    <x v="215"/>
    <x v="107"/>
    <x v="1198"/>
  </r>
  <r>
    <x v="4"/>
    <x v="173"/>
    <x v="107"/>
    <x v="1199"/>
  </r>
  <r>
    <x v="4"/>
    <x v="110"/>
    <x v="107"/>
    <x v="1200"/>
  </r>
  <r>
    <x v="4"/>
    <x v="77"/>
    <x v="107"/>
    <x v="1201"/>
  </r>
  <r>
    <x v="4"/>
    <x v="77"/>
    <x v="107"/>
    <x v="1202"/>
  </r>
  <r>
    <x v="4"/>
    <x v="36"/>
    <x v="107"/>
    <x v="1203"/>
  </r>
  <r>
    <x v="4"/>
    <x v="50"/>
    <x v="107"/>
    <x v="1204"/>
  </r>
  <r>
    <x v="4"/>
    <x v="141"/>
    <x v="107"/>
    <x v="1205"/>
  </r>
  <r>
    <x v="12"/>
    <x v="190"/>
    <x v="108"/>
    <x v="1206"/>
  </r>
  <r>
    <x v="9"/>
    <x v="23"/>
    <x v="108"/>
    <x v="1207"/>
  </r>
  <r>
    <x v="0"/>
    <x v="132"/>
    <x v="108"/>
    <x v="1208"/>
  </r>
  <r>
    <x v="15"/>
    <x v="144"/>
    <x v="108"/>
    <x v="1209"/>
  </r>
  <r>
    <x v="6"/>
    <x v="169"/>
    <x v="108"/>
    <x v="1210"/>
  </r>
  <r>
    <x v="7"/>
    <x v="150"/>
    <x v="108"/>
    <x v="1211"/>
  </r>
  <r>
    <x v="14"/>
    <x v="138"/>
    <x v="108"/>
    <x v="1212"/>
  </r>
  <r>
    <x v="2"/>
    <x v="188"/>
    <x v="108"/>
    <x v="1213"/>
  </r>
  <r>
    <x v="3"/>
    <x v="56"/>
    <x v="108"/>
    <x v="1214"/>
  </r>
  <r>
    <x v="4"/>
    <x v="153"/>
    <x v="108"/>
    <x v="1215"/>
  </r>
  <r>
    <x v="4"/>
    <x v="34"/>
    <x v="108"/>
    <x v="1216"/>
  </r>
  <r>
    <x v="4"/>
    <x v="83"/>
    <x v="108"/>
    <x v="1217"/>
  </r>
  <r>
    <x v="4"/>
    <x v="59"/>
    <x v="108"/>
    <x v="1218"/>
  </r>
  <r>
    <x v="4"/>
    <x v="152"/>
    <x v="108"/>
    <x v="1219"/>
  </r>
  <r>
    <x v="4"/>
    <x v="11"/>
    <x v="108"/>
    <x v="1220"/>
  </r>
  <r>
    <x v="5"/>
    <x v="34"/>
    <x v="109"/>
    <x v="1221"/>
  </r>
  <r>
    <x v="0"/>
    <x v="88"/>
    <x v="109"/>
    <x v="1222"/>
  </r>
  <r>
    <x v="0"/>
    <x v="0"/>
    <x v="109"/>
    <x v="1223"/>
  </r>
  <r>
    <x v="6"/>
    <x v="203"/>
    <x v="109"/>
    <x v="1224"/>
  </r>
  <r>
    <x v="7"/>
    <x v="223"/>
    <x v="109"/>
    <x v="1225"/>
  </r>
  <r>
    <x v="7"/>
    <x v="184"/>
    <x v="109"/>
    <x v="1226"/>
  </r>
  <r>
    <x v="13"/>
    <x v="187"/>
    <x v="109"/>
    <x v="1227"/>
  </r>
  <r>
    <x v="2"/>
    <x v="115"/>
    <x v="109"/>
    <x v="1228"/>
  </r>
  <r>
    <x v="2"/>
    <x v="105"/>
    <x v="109"/>
    <x v="1229"/>
  </r>
  <r>
    <x v="3"/>
    <x v="93"/>
    <x v="109"/>
    <x v="1230"/>
  </r>
  <r>
    <x v="3"/>
    <x v="116"/>
    <x v="109"/>
    <x v="1231"/>
  </r>
  <r>
    <x v="4"/>
    <x v="75"/>
    <x v="109"/>
    <x v="1232"/>
  </r>
  <r>
    <x v="4"/>
    <x v="18"/>
    <x v="109"/>
    <x v="1233"/>
  </r>
  <r>
    <x v="4"/>
    <x v="215"/>
    <x v="109"/>
    <x v="1234"/>
  </r>
  <r>
    <x v="4"/>
    <x v="118"/>
    <x v="109"/>
    <x v="1235"/>
  </r>
  <r>
    <x v="4"/>
    <x v="92"/>
    <x v="109"/>
    <x v="1236"/>
  </r>
  <r>
    <x v="4"/>
    <x v="110"/>
    <x v="109"/>
    <x v="1237"/>
  </r>
  <r>
    <x v="4"/>
    <x v="50"/>
    <x v="109"/>
    <x v="1238"/>
  </r>
  <r>
    <x v="5"/>
    <x v="149"/>
    <x v="110"/>
    <x v="1239"/>
  </r>
  <r>
    <x v="5"/>
    <x v="220"/>
    <x v="110"/>
    <x v="397"/>
  </r>
  <r>
    <x v="5"/>
    <x v="87"/>
    <x v="110"/>
    <x v="1240"/>
  </r>
  <r>
    <x v="1"/>
    <x v="222"/>
    <x v="110"/>
    <x v="1241"/>
  </r>
  <r>
    <x v="11"/>
    <x v="30"/>
    <x v="110"/>
    <x v="1242"/>
  </r>
  <r>
    <x v="7"/>
    <x v="205"/>
    <x v="110"/>
    <x v="1243"/>
  </r>
  <r>
    <x v="2"/>
    <x v="163"/>
    <x v="110"/>
    <x v="1244"/>
  </r>
  <r>
    <x v="3"/>
    <x v="94"/>
    <x v="110"/>
    <x v="1245"/>
  </r>
  <r>
    <x v="3"/>
    <x v="236"/>
    <x v="110"/>
    <x v="1246"/>
  </r>
  <r>
    <x v="4"/>
    <x v="227"/>
    <x v="110"/>
    <x v="1247"/>
  </r>
  <r>
    <x v="5"/>
    <x v="57"/>
    <x v="111"/>
    <x v="1248"/>
  </r>
  <r>
    <x v="5"/>
    <x v="66"/>
    <x v="111"/>
    <x v="1249"/>
  </r>
  <r>
    <x v="7"/>
    <x v="171"/>
    <x v="111"/>
    <x v="314"/>
  </r>
  <r>
    <x v="3"/>
    <x v="19"/>
    <x v="111"/>
    <x v="1250"/>
  </r>
  <r>
    <x v="4"/>
    <x v="118"/>
    <x v="111"/>
    <x v="1251"/>
  </r>
  <r>
    <x v="4"/>
    <x v="111"/>
    <x v="111"/>
    <x v="1252"/>
  </r>
  <r>
    <x v="5"/>
    <x v="130"/>
    <x v="112"/>
    <x v="1253"/>
  </r>
  <r>
    <x v="9"/>
    <x v="179"/>
    <x v="112"/>
    <x v="0"/>
  </r>
  <r>
    <x v="10"/>
    <x v="123"/>
    <x v="112"/>
    <x v="0"/>
  </r>
  <r>
    <x v="7"/>
    <x v="126"/>
    <x v="112"/>
    <x v="1254"/>
  </r>
  <r>
    <x v="7"/>
    <x v="54"/>
    <x v="112"/>
    <x v="1255"/>
  </r>
  <r>
    <x v="7"/>
    <x v="114"/>
    <x v="112"/>
    <x v="1256"/>
  </r>
  <r>
    <x v="2"/>
    <x v="214"/>
    <x v="112"/>
    <x v="1257"/>
  </r>
  <r>
    <x v="2"/>
    <x v="210"/>
    <x v="112"/>
    <x v="1258"/>
  </r>
  <r>
    <x v="3"/>
    <x v="211"/>
    <x v="112"/>
    <x v="1259"/>
  </r>
  <r>
    <x v="4"/>
    <x v="167"/>
    <x v="112"/>
    <x v="1260"/>
  </r>
  <r>
    <x v="4"/>
    <x v="8"/>
    <x v="112"/>
    <x v="1261"/>
  </r>
  <r>
    <x v="4"/>
    <x v="48"/>
    <x v="112"/>
    <x v="1262"/>
  </r>
  <r>
    <x v="4"/>
    <x v="77"/>
    <x v="112"/>
    <x v="1263"/>
  </r>
  <r>
    <x v="4"/>
    <x v="36"/>
    <x v="112"/>
    <x v="1264"/>
  </r>
  <r>
    <x v="4"/>
    <x v="152"/>
    <x v="112"/>
    <x v="1265"/>
  </r>
  <r>
    <x v="12"/>
    <x v="85"/>
    <x v="113"/>
    <x v="1266"/>
  </r>
  <r>
    <x v="18"/>
    <x v="155"/>
    <x v="113"/>
    <x v="1267"/>
  </r>
  <r>
    <x v="5"/>
    <x v="95"/>
    <x v="113"/>
    <x v="1268"/>
  </r>
  <r>
    <x v="5"/>
    <x v="7"/>
    <x v="113"/>
    <x v="1269"/>
  </r>
  <r>
    <x v="5"/>
    <x v="13"/>
    <x v="113"/>
    <x v="1074"/>
  </r>
  <r>
    <x v="5"/>
    <x v="60"/>
    <x v="113"/>
    <x v="1270"/>
  </r>
  <r>
    <x v="5"/>
    <x v="208"/>
    <x v="113"/>
    <x v="1271"/>
  </r>
  <r>
    <x v="15"/>
    <x v="158"/>
    <x v="113"/>
    <x v="1272"/>
  </r>
  <r>
    <x v="6"/>
    <x v="14"/>
    <x v="113"/>
    <x v="1273"/>
  </r>
  <r>
    <x v="1"/>
    <x v="204"/>
    <x v="113"/>
    <x v="1274"/>
  </r>
  <r>
    <x v="16"/>
    <x v="103"/>
    <x v="113"/>
    <x v="1275"/>
  </r>
  <r>
    <x v="7"/>
    <x v="185"/>
    <x v="113"/>
    <x v="1276"/>
  </r>
  <r>
    <x v="2"/>
    <x v="116"/>
    <x v="113"/>
    <x v="1277"/>
  </r>
  <r>
    <x v="3"/>
    <x v="139"/>
    <x v="113"/>
    <x v="1278"/>
  </r>
  <r>
    <x v="4"/>
    <x v="35"/>
    <x v="113"/>
    <x v="1279"/>
  </r>
  <r>
    <x v="4"/>
    <x v="117"/>
    <x v="113"/>
    <x v="1280"/>
  </r>
  <r>
    <x v="4"/>
    <x v="63"/>
    <x v="113"/>
    <x v="1281"/>
  </r>
  <r>
    <x v="4"/>
    <x v="51"/>
    <x v="113"/>
    <x v="1282"/>
  </r>
  <r>
    <x v="4"/>
    <x v="201"/>
    <x v="113"/>
    <x v="1283"/>
  </r>
  <r>
    <x v="5"/>
    <x v="130"/>
    <x v="114"/>
    <x v="1284"/>
  </r>
  <r>
    <x v="0"/>
    <x v="27"/>
    <x v="114"/>
    <x v="1285"/>
  </r>
  <r>
    <x v="10"/>
    <x v="28"/>
    <x v="114"/>
    <x v="1286"/>
  </r>
  <r>
    <x v="10"/>
    <x v="102"/>
    <x v="114"/>
    <x v="1287"/>
  </r>
  <r>
    <x v="10"/>
    <x v="196"/>
    <x v="114"/>
    <x v="1288"/>
  </r>
  <r>
    <x v="3"/>
    <x v="16"/>
    <x v="114"/>
    <x v="1289"/>
  </r>
  <r>
    <x v="3"/>
    <x v="133"/>
    <x v="114"/>
    <x v="1290"/>
  </r>
  <r>
    <x v="3"/>
    <x v="73"/>
    <x v="114"/>
    <x v="1291"/>
  </r>
  <r>
    <x v="4"/>
    <x v="201"/>
    <x v="114"/>
    <x v="1292"/>
  </r>
  <r>
    <x v="12"/>
    <x v="44"/>
    <x v="115"/>
    <x v="1293"/>
  </r>
  <r>
    <x v="0"/>
    <x v="143"/>
    <x v="115"/>
    <x v="1294"/>
  </r>
  <r>
    <x v="0"/>
    <x v="200"/>
    <x v="115"/>
    <x v="1295"/>
  </r>
  <r>
    <x v="15"/>
    <x v="172"/>
    <x v="115"/>
    <x v="1296"/>
  </r>
  <r>
    <x v="19"/>
    <x v="230"/>
    <x v="115"/>
    <x v="1297"/>
  </r>
  <r>
    <x v="1"/>
    <x v="137"/>
    <x v="115"/>
    <x v="1298"/>
  </r>
  <r>
    <x v="10"/>
    <x v="61"/>
    <x v="115"/>
    <x v="1299"/>
  </r>
  <r>
    <x v="7"/>
    <x v="101"/>
    <x v="115"/>
    <x v="1300"/>
  </r>
  <r>
    <x v="7"/>
    <x v="192"/>
    <x v="115"/>
    <x v="1301"/>
  </r>
  <r>
    <x v="2"/>
    <x v="225"/>
    <x v="115"/>
    <x v="1302"/>
  </r>
  <r>
    <x v="3"/>
    <x v="153"/>
    <x v="115"/>
    <x v="1303"/>
  </r>
  <r>
    <x v="3"/>
    <x v="47"/>
    <x v="115"/>
    <x v="1304"/>
  </r>
  <r>
    <x v="3"/>
    <x v="108"/>
    <x v="115"/>
    <x v="1305"/>
  </r>
  <r>
    <x v="4"/>
    <x v="16"/>
    <x v="115"/>
    <x v="1306"/>
  </r>
  <r>
    <x v="4"/>
    <x v="173"/>
    <x v="115"/>
    <x v="1307"/>
  </r>
  <r>
    <x v="4"/>
    <x v="20"/>
    <x v="115"/>
    <x v="1308"/>
  </r>
  <r>
    <x v="5"/>
    <x v="65"/>
    <x v="116"/>
    <x v="1309"/>
  </r>
  <r>
    <x v="6"/>
    <x v="195"/>
    <x v="116"/>
    <x v="1310"/>
  </r>
  <r>
    <x v="2"/>
    <x v="69"/>
    <x v="116"/>
    <x v="1311"/>
  </r>
  <r>
    <x v="3"/>
    <x v="56"/>
    <x v="116"/>
    <x v="1312"/>
  </r>
  <r>
    <x v="3"/>
    <x v="33"/>
    <x v="116"/>
    <x v="1313"/>
  </r>
  <r>
    <x v="3"/>
    <x v="219"/>
    <x v="116"/>
    <x v="1314"/>
  </r>
  <r>
    <x v="3"/>
    <x v="133"/>
    <x v="116"/>
    <x v="1315"/>
  </r>
  <r>
    <x v="4"/>
    <x v="7"/>
    <x v="116"/>
    <x v="1316"/>
  </r>
  <r>
    <x v="4"/>
    <x v="76"/>
    <x v="116"/>
    <x v="1317"/>
  </r>
  <r>
    <x v="4"/>
    <x v="83"/>
    <x v="116"/>
    <x v="1318"/>
  </r>
  <r>
    <x v="4"/>
    <x v="49"/>
    <x v="116"/>
    <x v="1319"/>
  </r>
  <r>
    <x v="4"/>
    <x v="10"/>
    <x v="116"/>
    <x v="119"/>
  </r>
  <r>
    <x v="12"/>
    <x v="127"/>
    <x v="117"/>
    <x v="1320"/>
  </r>
  <r>
    <x v="5"/>
    <x v="157"/>
    <x v="117"/>
    <x v="55"/>
  </r>
  <r>
    <x v="5"/>
    <x v="17"/>
    <x v="117"/>
    <x v="1321"/>
  </r>
  <r>
    <x v="11"/>
    <x v="231"/>
    <x v="117"/>
    <x v="1322"/>
  </r>
  <r>
    <x v="3"/>
    <x v="121"/>
    <x v="117"/>
    <x v="1323"/>
  </r>
  <r>
    <x v="4"/>
    <x v="8"/>
    <x v="117"/>
    <x v="1324"/>
  </r>
  <r>
    <x v="4"/>
    <x v="129"/>
    <x v="117"/>
    <x v="1325"/>
  </r>
  <r>
    <x v="4"/>
    <x v="19"/>
    <x v="117"/>
    <x v="1326"/>
  </r>
  <r>
    <x v="4"/>
    <x v="141"/>
    <x v="117"/>
    <x v="1327"/>
  </r>
  <r>
    <x v="4"/>
    <x v="119"/>
    <x v="117"/>
    <x v="1328"/>
  </r>
  <r>
    <x v="5"/>
    <x v="96"/>
    <x v="118"/>
    <x v="1329"/>
  </r>
  <r>
    <x v="3"/>
    <x v="167"/>
    <x v="118"/>
    <x v="1330"/>
  </r>
  <r>
    <x v="3"/>
    <x v="147"/>
    <x v="118"/>
    <x v="1331"/>
  </r>
  <r>
    <x v="3"/>
    <x v="133"/>
    <x v="118"/>
    <x v="1332"/>
  </r>
  <r>
    <x v="3"/>
    <x v="17"/>
    <x v="118"/>
    <x v="1333"/>
  </r>
  <r>
    <x v="3"/>
    <x v="74"/>
    <x v="118"/>
    <x v="1334"/>
  </r>
  <r>
    <x v="3"/>
    <x v="166"/>
    <x v="118"/>
    <x v="1335"/>
  </r>
  <r>
    <x v="4"/>
    <x v="20"/>
    <x v="118"/>
    <x v="1336"/>
  </r>
  <r>
    <x v="12"/>
    <x v="37"/>
    <x v="119"/>
    <x v="1337"/>
  </r>
  <r>
    <x v="5"/>
    <x v="182"/>
    <x v="119"/>
    <x v="1338"/>
  </r>
  <r>
    <x v="10"/>
    <x v="125"/>
    <x v="119"/>
    <x v="1339"/>
  </r>
  <r>
    <x v="14"/>
    <x v="218"/>
    <x v="119"/>
    <x v="1340"/>
  </r>
  <r>
    <x v="2"/>
    <x v="91"/>
    <x v="119"/>
    <x v="1341"/>
  </r>
  <r>
    <x v="2"/>
    <x v="162"/>
    <x v="119"/>
    <x v="1342"/>
  </r>
  <r>
    <x v="2"/>
    <x v="164"/>
    <x v="119"/>
    <x v="1343"/>
  </r>
  <r>
    <x v="3"/>
    <x v="72"/>
    <x v="119"/>
    <x v="1344"/>
  </r>
  <r>
    <x v="3"/>
    <x v="73"/>
    <x v="119"/>
    <x v="1345"/>
  </r>
  <r>
    <x v="4"/>
    <x v="75"/>
    <x v="119"/>
    <x v="1346"/>
  </r>
  <r>
    <x v="4"/>
    <x v="34"/>
    <x v="119"/>
    <x v="1347"/>
  </r>
  <r>
    <x v="4"/>
    <x v="36"/>
    <x v="119"/>
    <x v="1348"/>
  </r>
  <r>
    <x v="4"/>
    <x v="84"/>
    <x v="119"/>
    <x v="1349"/>
  </r>
  <r>
    <x v="4"/>
    <x v="20"/>
    <x v="119"/>
    <x v="1350"/>
  </r>
  <r>
    <x v="4"/>
    <x v="152"/>
    <x v="119"/>
    <x v="1351"/>
  </r>
  <r>
    <x v="12"/>
    <x v="127"/>
    <x v="120"/>
    <x v="1352"/>
  </r>
  <r>
    <x v="13"/>
    <x v="187"/>
    <x v="120"/>
    <x v="1353"/>
  </r>
  <r>
    <x v="3"/>
    <x v="47"/>
    <x v="120"/>
    <x v="1354"/>
  </r>
  <r>
    <x v="3"/>
    <x v="32"/>
    <x v="120"/>
    <x v="1355"/>
  </r>
  <r>
    <x v="3"/>
    <x v="148"/>
    <x v="120"/>
    <x v="1356"/>
  </r>
  <r>
    <x v="3"/>
    <x v="73"/>
    <x v="120"/>
    <x v="1357"/>
  </r>
  <r>
    <x v="4"/>
    <x v="219"/>
    <x v="120"/>
    <x v="1358"/>
  </r>
  <r>
    <x v="4"/>
    <x v="110"/>
    <x v="120"/>
    <x v="1359"/>
  </r>
  <r>
    <x v="4"/>
    <x v="120"/>
    <x v="120"/>
    <x v="1360"/>
  </r>
  <r>
    <x v="12"/>
    <x v="85"/>
    <x v="121"/>
    <x v="1361"/>
  </r>
  <r>
    <x v="7"/>
    <x v="200"/>
    <x v="121"/>
    <x v="1362"/>
  </r>
  <r>
    <x v="2"/>
    <x v="2"/>
    <x v="121"/>
    <x v="1363"/>
  </r>
  <r>
    <x v="2"/>
    <x v="210"/>
    <x v="121"/>
    <x v="1364"/>
  </r>
  <r>
    <x v="3"/>
    <x v="82"/>
    <x v="121"/>
    <x v="1365"/>
  </r>
  <r>
    <x v="3"/>
    <x v="166"/>
    <x v="121"/>
    <x v="1366"/>
  </r>
  <r>
    <x v="3"/>
    <x v="139"/>
    <x v="121"/>
    <x v="1367"/>
  </r>
  <r>
    <x v="4"/>
    <x v="7"/>
    <x v="121"/>
    <x v="1368"/>
  </r>
  <r>
    <x v="4"/>
    <x v="8"/>
    <x v="121"/>
    <x v="1369"/>
  </r>
  <r>
    <x v="4"/>
    <x v="34"/>
    <x v="121"/>
    <x v="1370"/>
  </r>
  <r>
    <x v="4"/>
    <x v="19"/>
    <x v="121"/>
    <x v="1371"/>
  </r>
  <r>
    <x v="4"/>
    <x v="83"/>
    <x v="121"/>
    <x v="1372"/>
  </r>
  <r>
    <x v="4"/>
    <x v="111"/>
    <x v="121"/>
    <x v="1373"/>
  </r>
  <r>
    <x v="5"/>
    <x v="174"/>
    <x v="122"/>
    <x v="1374"/>
  </r>
  <r>
    <x v="6"/>
    <x v="160"/>
    <x v="122"/>
    <x v="1375"/>
  </r>
  <r>
    <x v="2"/>
    <x v="225"/>
    <x v="122"/>
    <x v="1376"/>
  </r>
  <r>
    <x v="2"/>
    <x v="184"/>
    <x v="122"/>
    <x v="1377"/>
  </r>
  <r>
    <x v="3"/>
    <x v="120"/>
    <x v="122"/>
    <x v="1378"/>
  </r>
  <r>
    <x v="4"/>
    <x v="77"/>
    <x v="122"/>
    <x v="1379"/>
  </r>
  <r>
    <x v="4"/>
    <x v="51"/>
    <x v="122"/>
    <x v="1380"/>
  </r>
  <r>
    <x v="4"/>
    <x v="51"/>
    <x v="122"/>
    <x v="1381"/>
  </r>
  <r>
    <x v="12"/>
    <x v="154"/>
    <x v="123"/>
    <x v="1382"/>
  </r>
  <r>
    <x v="5"/>
    <x v="135"/>
    <x v="123"/>
    <x v="1383"/>
  </r>
  <r>
    <x v="7"/>
    <x v="186"/>
    <x v="123"/>
    <x v="1384"/>
  </r>
  <r>
    <x v="2"/>
    <x v="164"/>
    <x v="123"/>
    <x v="1385"/>
  </r>
  <r>
    <x v="3"/>
    <x v="202"/>
    <x v="123"/>
    <x v="1386"/>
  </r>
  <r>
    <x v="3"/>
    <x v="148"/>
    <x v="123"/>
    <x v="1387"/>
  </r>
  <r>
    <x v="4"/>
    <x v="141"/>
    <x v="123"/>
    <x v="1388"/>
  </r>
  <r>
    <x v="4"/>
    <x v="152"/>
    <x v="123"/>
    <x v="666"/>
  </r>
  <r>
    <x v="5"/>
    <x v="178"/>
    <x v="124"/>
    <x v="1389"/>
  </r>
  <r>
    <x v="5"/>
    <x v="87"/>
    <x v="124"/>
    <x v="1127"/>
  </r>
  <r>
    <x v="15"/>
    <x v="221"/>
    <x v="124"/>
    <x v="0"/>
  </r>
  <r>
    <x v="15"/>
    <x v="158"/>
    <x v="124"/>
    <x v="1390"/>
  </r>
  <r>
    <x v="2"/>
    <x v="214"/>
    <x v="124"/>
    <x v="1391"/>
  </r>
  <r>
    <x v="3"/>
    <x v="22"/>
    <x v="124"/>
    <x v="1392"/>
  </r>
  <r>
    <x v="3"/>
    <x v="140"/>
    <x v="124"/>
    <x v="1393"/>
  </r>
  <r>
    <x v="4"/>
    <x v="82"/>
    <x v="124"/>
    <x v="1394"/>
  </r>
  <r>
    <x v="4"/>
    <x v="62"/>
    <x v="124"/>
    <x v="1395"/>
  </r>
  <r>
    <x v="4"/>
    <x v="16"/>
    <x v="124"/>
    <x v="1396"/>
  </r>
  <r>
    <x v="4"/>
    <x v="83"/>
    <x v="124"/>
    <x v="1397"/>
  </r>
  <r>
    <x v="4"/>
    <x v="49"/>
    <x v="124"/>
    <x v="1398"/>
  </r>
  <r>
    <x v="4"/>
    <x v="141"/>
    <x v="124"/>
    <x v="1399"/>
  </r>
  <r>
    <x v="4"/>
    <x v="119"/>
    <x v="124"/>
    <x v="1400"/>
  </r>
  <r>
    <x v="12"/>
    <x v="26"/>
    <x v="125"/>
    <x v="1401"/>
  </r>
  <r>
    <x v="5"/>
    <x v="149"/>
    <x v="125"/>
    <x v="1402"/>
  </r>
  <r>
    <x v="0"/>
    <x v="143"/>
    <x v="125"/>
    <x v="1403"/>
  </r>
  <r>
    <x v="1"/>
    <x v="79"/>
    <x v="125"/>
    <x v="1404"/>
  </r>
  <r>
    <x v="2"/>
    <x v="65"/>
    <x v="125"/>
    <x v="1405"/>
  </r>
  <r>
    <x v="3"/>
    <x v="33"/>
    <x v="125"/>
    <x v="1406"/>
  </r>
  <r>
    <x v="3"/>
    <x v="92"/>
    <x v="125"/>
    <x v="1314"/>
  </r>
  <r>
    <x v="3"/>
    <x v="134"/>
    <x v="125"/>
    <x v="1407"/>
  </r>
  <r>
    <x v="4"/>
    <x v="8"/>
    <x v="125"/>
    <x v="1408"/>
  </r>
  <r>
    <x v="4"/>
    <x v="58"/>
    <x v="125"/>
    <x v="1409"/>
  </r>
  <r>
    <x v="4"/>
    <x v="20"/>
    <x v="125"/>
    <x v="1410"/>
  </r>
  <r>
    <x v="4"/>
    <x v="152"/>
    <x v="125"/>
    <x v="1411"/>
  </r>
  <r>
    <x v="5"/>
    <x v="66"/>
    <x v="126"/>
    <x v="35"/>
  </r>
  <r>
    <x v="0"/>
    <x v="122"/>
    <x v="126"/>
    <x v="1412"/>
  </r>
  <r>
    <x v="0"/>
    <x v="67"/>
    <x v="126"/>
    <x v="1413"/>
  </r>
  <r>
    <x v="1"/>
    <x v="222"/>
    <x v="126"/>
    <x v="1414"/>
  </r>
  <r>
    <x v="1"/>
    <x v="1"/>
    <x v="126"/>
    <x v="1415"/>
  </r>
  <r>
    <x v="7"/>
    <x v="171"/>
    <x v="126"/>
    <x v="1416"/>
  </r>
  <r>
    <x v="7"/>
    <x v="161"/>
    <x v="126"/>
    <x v="1417"/>
  </r>
  <r>
    <x v="13"/>
    <x v="40"/>
    <x v="126"/>
    <x v="1418"/>
  </r>
  <r>
    <x v="3"/>
    <x v="233"/>
    <x v="126"/>
    <x v="1419"/>
  </r>
  <r>
    <x v="3"/>
    <x v="133"/>
    <x v="126"/>
    <x v="1420"/>
  </r>
  <r>
    <x v="4"/>
    <x v="227"/>
    <x v="126"/>
    <x v="1421"/>
  </r>
  <r>
    <x v="4"/>
    <x v="62"/>
    <x v="126"/>
    <x v="1422"/>
  </r>
  <r>
    <x v="4"/>
    <x v="173"/>
    <x v="126"/>
    <x v="1423"/>
  </r>
  <r>
    <x v="5"/>
    <x v="177"/>
    <x v="127"/>
    <x v="1424"/>
  </r>
  <r>
    <x v="9"/>
    <x v="229"/>
    <x v="127"/>
    <x v="1425"/>
  </r>
  <r>
    <x v="15"/>
    <x v="198"/>
    <x v="127"/>
    <x v="1426"/>
  </r>
  <r>
    <x v="10"/>
    <x v="102"/>
    <x v="127"/>
    <x v="1427"/>
  </r>
  <r>
    <x v="3"/>
    <x v="147"/>
    <x v="127"/>
    <x v="1428"/>
  </r>
  <r>
    <x v="3"/>
    <x v="109"/>
    <x v="127"/>
    <x v="1429"/>
  </r>
  <r>
    <x v="4"/>
    <x v="48"/>
    <x v="127"/>
    <x v="1430"/>
  </r>
  <r>
    <x v="4"/>
    <x v="34"/>
    <x v="127"/>
    <x v="1431"/>
  </r>
  <r>
    <x v="4"/>
    <x v="228"/>
    <x v="127"/>
    <x v="1432"/>
  </r>
  <r>
    <x v="4"/>
    <x v="215"/>
    <x v="127"/>
    <x v="1433"/>
  </r>
  <r>
    <x v="4"/>
    <x v="234"/>
    <x v="127"/>
    <x v="1434"/>
  </r>
  <r>
    <x v="4"/>
    <x v="10"/>
    <x v="127"/>
    <x v="1435"/>
  </r>
  <r>
    <x v="4"/>
    <x v="20"/>
    <x v="127"/>
    <x v="1436"/>
  </r>
  <r>
    <x v="5"/>
    <x v="78"/>
    <x v="128"/>
    <x v="1437"/>
  </r>
  <r>
    <x v="15"/>
    <x v="68"/>
    <x v="128"/>
    <x v="1438"/>
  </r>
  <r>
    <x v="6"/>
    <x v="98"/>
    <x v="128"/>
    <x v="1439"/>
  </r>
  <r>
    <x v="7"/>
    <x v="112"/>
    <x v="128"/>
    <x v="1440"/>
  </r>
  <r>
    <x v="14"/>
    <x v="206"/>
    <x v="128"/>
    <x v="1441"/>
  </r>
  <r>
    <x v="2"/>
    <x v="207"/>
    <x v="128"/>
    <x v="1442"/>
  </r>
  <r>
    <x v="4"/>
    <x v="34"/>
    <x v="128"/>
    <x v="1443"/>
  </r>
  <r>
    <x v="4"/>
    <x v="141"/>
    <x v="128"/>
    <x v="1444"/>
  </r>
  <r>
    <x v="4"/>
    <x v="84"/>
    <x v="128"/>
    <x v="1445"/>
  </r>
  <r>
    <x v="5"/>
    <x v="57"/>
    <x v="129"/>
    <x v="1446"/>
  </r>
  <r>
    <x v="5"/>
    <x v="52"/>
    <x v="129"/>
    <x v="1447"/>
  </r>
  <r>
    <x v="5"/>
    <x v="45"/>
    <x v="129"/>
    <x v="1448"/>
  </r>
  <r>
    <x v="5"/>
    <x v="208"/>
    <x v="129"/>
    <x v="1449"/>
  </r>
  <r>
    <x v="19"/>
    <x v="230"/>
    <x v="129"/>
    <x v="1450"/>
  </r>
  <r>
    <x v="2"/>
    <x v="162"/>
    <x v="129"/>
    <x v="1451"/>
  </r>
  <r>
    <x v="2"/>
    <x v="128"/>
    <x v="129"/>
    <x v="1452"/>
  </r>
  <r>
    <x v="3"/>
    <x v="211"/>
    <x v="129"/>
    <x v="1453"/>
  </r>
  <r>
    <x v="3"/>
    <x v="17"/>
    <x v="129"/>
    <x v="1454"/>
  </r>
  <r>
    <x v="3"/>
    <x v="6"/>
    <x v="129"/>
    <x v="1455"/>
  </r>
  <r>
    <x v="4"/>
    <x v="75"/>
    <x v="129"/>
    <x v="1456"/>
  </r>
  <r>
    <x v="4"/>
    <x v="75"/>
    <x v="129"/>
    <x v="1457"/>
  </r>
  <r>
    <x v="4"/>
    <x v="8"/>
    <x v="129"/>
    <x v="1458"/>
  </r>
  <r>
    <x v="4"/>
    <x v="48"/>
    <x v="129"/>
    <x v="1459"/>
  </r>
  <r>
    <x v="4"/>
    <x v="153"/>
    <x v="129"/>
    <x v="1460"/>
  </r>
  <r>
    <x v="4"/>
    <x v="153"/>
    <x v="129"/>
    <x v="1461"/>
  </r>
  <r>
    <x v="5"/>
    <x v="157"/>
    <x v="130"/>
    <x v="1462"/>
  </r>
  <r>
    <x v="2"/>
    <x v="147"/>
    <x v="130"/>
    <x v="760"/>
  </r>
  <r>
    <x v="3"/>
    <x v="34"/>
    <x v="130"/>
    <x v="1463"/>
  </r>
  <r>
    <x v="3"/>
    <x v="92"/>
    <x v="130"/>
    <x v="1464"/>
  </r>
  <r>
    <x v="3"/>
    <x v="17"/>
    <x v="130"/>
    <x v="1465"/>
  </r>
  <r>
    <x v="3"/>
    <x v="139"/>
    <x v="130"/>
    <x v="1466"/>
  </r>
  <r>
    <x v="4"/>
    <x v="8"/>
    <x v="130"/>
    <x v="1467"/>
  </r>
  <r>
    <x v="4"/>
    <x v="118"/>
    <x v="130"/>
    <x v="1468"/>
  </r>
  <r>
    <x v="4"/>
    <x v="140"/>
    <x v="130"/>
    <x v="1469"/>
  </r>
  <r>
    <x v="4"/>
    <x v="59"/>
    <x v="130"/>
    <x v="1470"/>
  </r>
  <r>
    <x v="4"/>
    <x v="9"/>
    <x v="130"/>
    <x v="1471"/>
  </r>
  <r>
    <x v="4"/>
    <x v="12"/>
    <x v="130"/>
    <x v="1472"/>
  </r>
  <r>
    <x v="12"/>
    <x v="44"/>
    <x v="131"/>
    <x v="1473"/>
  </r>
  <r>
    <x v="5"/>
    <x v="86"/>
    <x v="131"/>
    <x v="1474"/>
  </r>
  <r>
    <x v="0"/>
    <x v="185"/>
    <x v="131"/>
    <x v="1475"/>
  </r>
  <r>
    <x v="0"/>
    <x v="113"/>
    <x v="131"/>
    <x v="1476"/>
  </r>
  <r>
    <x v="6"/>
    <x v="203"/>
    <x v="131"/>
    <x v="1477"/>
  </r>
  <r>
    <x v="1"/>
    <x v="137"/>
    <x v="131"/>
    <x v="1478"/>
  </r>
  <r>
    <x v="10"/>
    <x v="145"/>
    <x v="131"/>
    <x v="1479"/>
  </r>
  <r>
    <x v="13"/>
    <x v="39"/>
    <x v="131"/>
    <x v="1480"/>
  </r>
  <r>
    <x v="2"/>
    <x v="104"/>
    <x v="131"/>
    <x v="1481"/>
  </r>
  <r>
    <x v="2"/>
    <x v="188"/>
    <x v="131"/>
    <x v="1482"/>
  </r>
  <r>
    <x v="3"/>
    <x v="4"/>
    <x v="131"/>
    <x v="950"/>
  </r>
  <r>
    <x v="4"/>
    <x v="57"/>
    <x v="131"/>
    <x v="1483"/>
  </r>
  <r>
    <x v="4"/>
    <x v="12"/>
    <x v="131"/>
    <x v="1484"/>
  </r>
  <r>
    <x v="12"/>
    <x v="37"/>
    <x v="132"/>
    <x v="1450"/>
  </r>
  <r>
    <x v="1"/>
    <x v="204"/>
    <x v="132"/>
    <x v="1485"/>
  </r>
  <r>
    <x v="10"/>
    <x v="53"/>
    <x v="132"/>
    <x v="1486"/>
  </r>
  <r>
    <x v="7"/>
    <x v="223"/>
    <x v="132"/>
    <x v="1487"/>
  </r>
  <r>
    <x v="2"/>
    <x v="71"/>
    <x v="132"/>
    <x v="1488"/>
  </r>
  <r>
    <x v="2"/>
    <x v="3"/>
    <x v="132"/>
    <x v="1489"/>
  </r>
  <r>
    <x v="3"/>
    <x v="31"/>
    <x v="132"/>
    <x v="1490"/>
  </r>
  <r>
    <x v="3"/>
    <x v="236"/>
    <x v="132"/>
    <x v="1491"/>
  </r>
  <r>
    <x v="4"/>
    <x v="57"/>
    <x v="132"/>
    <x v="1492"/>
  </r>
  <r>
    <x v="4"/>
    <x v="84"/>
    <x v="132"/>
    <x v="1493"/>
  </r>
  <r>
    <x v="4"/>
    <x v="12"/>
    <x v="132"/>
    <x v="1494"/>
  </r>
  <r>
    <x v="12"/>
    <x v="181"/>
    <x v="133"/>
    <x v="1495"/>
  </r>
  <r>
    <x v="5"/>
    <x v="182"/>
    <x v="133"/>
    <x v="1496"/>
  </r>
  <r>
    <x v="10"/>
    <x v="100"/>
    <x v="133"/>
    <x v="1497"/>
  </r>
  <r>
    <x v="2"/>
    <x v="91"/>
    <x v="133"/>
    <x v="1397"/>
  </r>
  <r>
    <x v="3"/>
    <x v="202"/>
    <x v="133"/>
    <x v="1498"/>
  </r>
  <r>
    <x v="3"/>
    <x v="31"/>
    <x v="133"/>
    <x v="1499"/>
  </r>
  <r>
    <x v="3"/>
    <x v="5"/>
    <x v="133"/>
    <x v="1500"/>
  </r>
  <r>
    <x v="3"/>
    <x v="235"/>
    <x v="133"/>
    <x v="1501"/>
  </r>
  <r>
    <x v="4"/>
    <x v="18"/>
    <x v="133"/>
    <x v="1502"/>
  </r>
  <r>
    <x v="4"/>
    <x v="62"/>
    <x v="133"/>
    <x v="1503"/>
  </r>
  <r>
    <x v="4"/>
    <x v="19"/>
    <x v="133"/>
    <x v="1504"/>
  </r>
  <r>
    <x v="4"/>
    <x v="12"/>
    <x v="133"/>
    <x v="1505"/>
  </r>
  <r>
    <x v="6"/>
    <x v="131"/>
    <x v="134"/>
    <x v="1506"/>
  </r>
  <r>
    <x v="10"/>
    <x v="170"/>
    <x v="134"/>
    <x v="0"/>
  </r>
  <r>
    <x v="10"/>
    <x v="101"/>
    <x v="134"/>
    <x v="1507"/>
  </r>
  <r>
    <x v="10"/>
    <x v="61"/>
    <x v="134"/>
    <x v="1508"/>
  </r>
  <r>
    <x v="2"/>
    <x v="108"/>
    <x v="134"/>
    <x v="1509"/>
  </r>
  <r>
    <x v="4"/>
    <x v="167"/>
    <x v="134"/>
    <x v="1510"/>
  </r>
  <r>
    <x v="4"/>
    <x v="8"/>
    <x v="134"/>
    <x v="1511"/>
  </r>
  <r>
    <x v="4"/>
    <x v="76"/>
    <x v="134"/>
    <x v="1512"/>
  </r>
  <r>
    <x v="4"/>
    <x v="129"/>
    <x v="134"/>
    <x v="1513"/>
  </r>
  <r>
    <x v="4"/>
    <x v="63"/>
    <x v="134"/>
    <x v="1514"/>
  </r>
  <r>
    <x v="4"/>
    <x v="9"/>
    <x v="134"/>
    <x v="1515"/>
  </r>
  <r>
    <x v="5"/>
    <x v="18"/>
    <x v="135"/>
    <x v="1516"/>
  </r>
  <r>
    <x v="1"/>
    <x v="232"/>
    <x v="135"/>
    <x v="1517"/>
  </r>
  <r>
    <x v="11"/>
    <x v="231"/>
    <x v="135"/>
    <x v="1518"/>
  </r>
  <r>
    <x v="16"/>
    <x v="103"/>
    <x v="135"/>
    <x v="1519"/>
  </r>
  <r>
    <x v="2"/>
    <x v="146"/>
    <x v="135"/>
    <x v="1520"/>
  </r>
  <r>
    <x v="3"/>
    <x v="93"/>
    <x v="135"/>
    <x v="1521"/>
  </r>
  <r>
    <x v="3"/>
    <x v="116"/>
    <x v="135"/>
    <x v="1522"/>
  </r>
  <r>
    <x v="3"/>
    <x v="77"/>
    <x v="135"/>
    <x v="1523"/>
  </r>
  <r>
    <x v="3"/>
    <x v="108"/>
    <x v="135"/>
    <x v="1524"/>
  </r>
  <r>
    <x v="4"/>
    <x v="76"/>
    <x v="135"/>
    <x v="1525"/>
  </r>
  <r>
    <x v="4"/>
    <x v="36"/>
    <x v="135"/>
    <x v="1526"/>
  </r>
  <r>
    <x v="4"/>
    <x v="11"/>
    <x v="135"/>
    <x v="1527"/>
  </r>
  <r>
    <x v="6"/>
    <x v="151"/>
    <x v="136"/>
    <x v="1528"/>
  </r>
  <r>
    <x v="3"/>
    <x v="16"/>
    <x v="136"/>
    <x v="1529"/>
  </r>
  <r>
    <x v="4"/>
    <x v="8"/>
    <x v="136"/>
    <x v="1530"/>
  </r>
  <r>
    <x v="4"/>
    <x v="19"/>
    <x v="136"/>
    <x v="1531"/>
  </r>
  <r>
    <x v="5"/>
    <x v="56"/>
    <x v="137"/>
    <x v="1532"/>
  </r>
  <r>
    <x v="5"/>
    <x v="168"/>
    <x v="137"/>
    <x v="1533"/>
  </r>
  <r>
    <x v="15"/>
    <x v="144"/>
    <x v="137"/>
    <x v="1534"/>
  </r>
  <r>
    <x v="10"/>
    <x v="175"/>
    <x v="137"/>
    <x v="1535"/>
  </r>
  <r>
    <x v="11"/>
    <x v="212"/>
    <x v="137"/>
    <x v="1536"/>
  </r>
  <r>
    <x v="11"/>
    <x v="29"/>
    <x v="137"/>
    <x v="1537"/>
  </r>
  <r>
    <x v="17"/>
    <x v="106"/>
    <x v="137"/>
    <x v="1538"/>
  </r>
  <r>
    <x v="3"/>
    <x v="133"/>
    <x v="137"/>
    <x v="1539"/>
  </r>
  <r>
    <x v="4"/>
    <x v="7"/>
    <x v="137"/>
    <x v="1540"/>
  </r>
  <r>
    <x v="4"/>
    <x v="56"/>
    <x v="137"/>
    <x v="1541"/>
  </r>
  <r>
    <x v="4"/>
    <x v="10"/>
    <x v="137"/>
    <x v="1542"/>
  </r>
  <r>
    <x v="5"/>
    <x v="18"/>
    <x v="138"/>
    <x v="1543"/>
  </r>
  <r>
    <x v="10"/>
    <x v="196"/>
    <x v="138"/>
    <x v="1544"/>
  </r>
  <r>
    <x v="2"/>
    <x v="115"/>
    <x v="138"/>
    <x v="1545"/>
  </r>
  <r>
    <x v="4"/>
    <x v="57"/>
    <x v="138"/>
    <x v="1546"/>
  </r>
  <r>
    <x v="4"/>
    <x v="167"/>
    <x v="138"/>
    <x v="85"/>
  </r>
  <r>
    <x v="4"/>
    <x v="18"/>
    <x v="138"/>
    <x v="1547"/>
  </r>
  <r>
    <x v="4"/>
    <x v="227"/>
    <x v="138"/>
    <x v="1548"/>
  </r>
  <r>
    <x v="4"/>
    <x v="111"/>
    <x v="138"/>
    <x v="1549"/>
  </r>
  <r>
    <x v="4"/>
    <x v="10"/>
    <x v="138"/>
    <x v="1550"/>
  </r>
  <r>
    <x v="18"/>
    <x v="155"/>
    <x v="139"/>
    <x v="1551"/>
  </r>
  <r>
    <x v="5"/>
    <x v="156"/>
    <x v="139"/>
    <x v="1552"/>
  </r>
  <r>
    <x v="0"/>
    <x v="38"/>
    <x v="139"/>
    <x v="1553"/>
  </r>
  <r>
    <x v="15"/>
    <x v="180"/>
    <x v="139"/>
    <x v="1554"/>
  </r>
  <r>
    <x v="15"/>
    <x v="89"/>
    <x v="139"/>
    <x v="0"/>
  </r>
  <r>
    <x v="10"/>
    <x v="28"/>
    <x v="139"/>
    <x v="0"/>
  </r>
  <r>
    <x v="7"/>
    <x v="96"/>
    <x v="139"/>
    <x v="1555"/>
  </r>
  <r>
    <x v="7"/>
    <x v="199"/>
    <x v="139"/>
    <x v="0"/>
  </r>
  <r>
    <x v="7"/>
    <x v="205"/>
    <x v="139"/>
    <x v="1556"/>
  </r>
  <r>
    <x v="14"/>
    <x v="138"/>
    <x v="139"/>
    <x v="1557"/>
  </r>
  <r>
    <x v="3"/>
    <x v="234"/>
    <x v="139"/>
    <x v="1558"/>
  </r>
  <r>
    <x v="3"/>
    <x v="72"/>
    <x v="139"/>
    <x v="1559"/>
  </r>
  <r>
    <x v="4"/>
    <x v="94"/>
    <x v="139"/>
    <x v="1548"/>
  </r>
  <r>
    <x v="4"/>
    <x v="118"/>
    <x v="139"/>
    <x v="1560"/>
  </r>
  <r>
    <x v="4"/>
    <x v="58"/>
    <x v="139"/>
    <x v="1561"/>
  </r>
  <r>
    <x v="4"/>
    <x v="51"/>
    <x v="139"/>
    <x v="1562"/>
  </r>
  <r>
    <x v="4"/>
    <x v="12"/>
    <x v="139"/>
    <x v="1563"/>
  </r>
  <r>
    <x v="12"/>
    <x v="190"/>
    <x v="140"/>
    <x v="1564"/>
  </r>
  <r>
    <x v="5"/>
    <x v="13"/>
    <x v="140"/>
    <x v="568"/>
  </r>
  <r>
    <x v="5"/>
    <x v="9"/>
    <x v="140"/>
    <x v="527"/>
  </r>
  <r>
    <x v="0"/>
    <x v="132"/>
    <x v="140"/>
    <x v="1565"/>
  </r>
  <r>
    <x v="6"/>
    <x v="159"/>
    <x v="140"/>
    <x v="1566"/>
  </r>
  <r>
    <x v="11"/>
    <x v="30"/>
    <x v="140"/>
    <x v="1567"/>
  </r>
  <r>
    <x v="14"/>
    <x v="197"/>
    <x v="140"/>
    <x v="1568"/>
  </r>
  <r>
    <x v="3"/>
    <x v="211"/>
    <x v="140"/>
    <x v="1569"/>
  </r>
  <r>
    <x v="3"/>
    <x v="202"/>
    <x v="140"/>
    <x v="1570"/>
  </r>
  <r>
    <x v="3"/>
    <x v="47"/>
    <x v="140"/>
    <x v="623"/>
  </r>
  <r>
    <x v="3"/>
    <x v="128"/>
    <x v="140"/>
    <x v="1571"/>
  </r>
  <r>
    <x v="4"/>
    <x v="76"/>
    <x v="140"/>
    <x v="1572"/>
  </r>
  <r>
    <x v="4"/>
    <x v="36"/>
    <x v="140"/>
    <x v="1573"/>
  </r>
  <r>
    <x v="4"/>
    <x v="36"/>
    <x v="140"/>
    <x v="1574"/>
  </r>
  <r>
    <x v="4"/>
    <x v="140"/>
    <x v="140"/>
    <x v="1575"/>
  </r>
  <r>
    <x v="4"/>
    <x v="201"/>
    <x v="140"/>
    <x v="1576"/>
  </r>
  <r>
    <x v="5"/>
    <x v="107"/>
    <x v="141"/>
    <x v="1577"/>
  </r>
  <r>
    <x v="5"/>
    <x v="220"/>
    <x v="141"/>
    <x v="1578"/>
  </r>
  <r>
    <x v="5"/>
    <x v="136"/>
    <x v="141"/>
    <x v="1579"/>
  </r>
  <r>
    <x v="0"/>
    <x v="216"/>
    <x v="141"/>
    <x v="1580"/>
  </r>
  <r>
    <x v="7"/>
    <x v="42"/>
    <x v="141"/>
    <x v="1581"/>
  </r>
  <r>
    <x v="2"/>
    <x v="70"/>
    <x v="141"/>
    <x v="1582"/>
  </r>
  <r>
    <x v="3"/>
    <x v="22"/>
    <x v="141"/>
    <x v="1583"/>
  </r>
  <r>
    <x v="3"/>
    <x v="93"/>
    <x v="141"/>
    <x v="1584"/>
  </r>
  <r>
    <x v="3"/>
    <x v="74"/>
    <x v="141"/>
    <x v="1585"/>
  </r>
  <r>
    <x v="4"/>
    <x v="48"/>
    <x v="141"/>
    <x v="1586"/>
  </r>
  <r>
    <x v="4"/>
    <x v="35"/>
    <x v="141"/>
    <x v="1587"/>
  </r>
  <r>
    <x v="4"/>
    <x v="129"/>
    <x v="141"/>
    <x v="1588"/>
  </r>
  <r>
    <x v="4"/>
    <x v="50"/>
    <x v="141"/>
    <x v="1589"/>
  </r>
  <r>
    <x v="4"/>
    <x v="59"/>
    <x v="141"/>
    <x v="1590"/>
  </r>
  <r>
    <x v="4"/>
    <x v="12"/>
    <x v="141"/>
    <x v="1591"/>
  </r>
  <r>
    <x v="0"/>
    <x v="88"/>
    <x v="142"/>
    <x v="1592"/>
  </r>
  <r>
    <x v="0"/>
    <x v="183"/>
    <x v="142"/>
    <x v="1593"/>
  </r>
  <r>
    <x v="10"/>
    <x v="191"/>
    <x v="142"/>
    <x v="1594"/>
  </r>
  <r>
    <x v="2"/>
    <x v="69"/>
    <x v="142"/>
    <x v="1595"/>
  </r>
  <r>
    <x v="4"/>
    <x v="7"/>
    <x v="142"/>
    <x v="1596"/>
  </r>
  <r>
    <x v="4"/>
    <x v="18"/>
    <x v="142"/>
    <x v="1597"/>
  </r>
  <r>
    <x v="4"/>
    <x v="94"/>
    <x v="142"/>
    <x v="1598"/>
  </r>
  <r>
    <x v="4"/>
    <x v="9"/>
    <x v="142"/>
    <x v="1599"/>
  </r>
  <r>
    <x v="0"/>
    <x v="27"/>
    <x v="143"/>
    <x v="1600"/>
  </r>
  <r>
    <x v="6"/>
    <x v="90"/>
    <x v="143"/>
    <x v="1601"/>
  </r>
  <r>
    <x v="6"/>
    <x v="14"/>
    <x v="143"/>
    <x v="1602"/>
  </r>
  <r>
    <x v="7"/>
    <x v="192"/>
    <x v="143"/>
    <x v="1603"/>
  </r>
  <r>
    <x v="2"/>
    <x v="41"/>
    <x v="143"/>
    <x v="1604"/>
  </r>
  <r>
    <x v="2"/>
    <x v="105"/>
    <x v="143"/>
    <x v="1605"/>
  </r>
  <r>
    <x v="4"/>
    <x v="8"/>
    <x v="143"/>
    <x v="1606"/>
  </r>
  <r>
    <x v="4"/>
    <x v="82"/>
    <x v="143"/>
    <x v="854"/>
  </r>
  <r>
    <x v="4"/>
    <x v="18"/>
    <x v="143"/>
    <x v="1607"/>
  </r>
  <r>
    <x v="4"/>
    <x v="118"/>
    <x v="143"/>
    <x v="1608"/>
  </r>
  <r>
    <x v="4"/>
    <x v="173"/>
    <x v="143"/>
    <x v="1609"/>
  </r>
  <r>
    <x v="4"/>
    <x v="50"/>
    <x v="143"/>
    <x v="1610"/>
  </r>
  <r>
    <x v="4"/>
    <x v="59"/>
    <x v="143"/>
    <x v="1611"/>
  </r>
  <r>
    <x v="4"/>
    <x v="20"/>
    <x v="143"/>
    <x v="1612"/>
  </r>
  <r>
    <x v="8"/>
    <x v="189"/>
    <x v="144"/>
    <x v="1613"/>
  </r>
  <r>
    <x v="9"/>
    <x v="179"/>
    <x v="144"/>
    <x v="1614"/>
  </r>
  <r>
    <x v="6"/>
    <x v="0"/>
    <x v="144"/>
    <x v="1615"/>
  </r>
  <r>
    <x v="10"/>
    <x v="169"/>
    <x v="144"/>
    <x v="1616"/>
  </r>
  <r>
    <x v="10"/>
    <x v="125"/>
    <x v="144"/>
    <x v="1617"/>
  </r>
  <r>
    <x v="2"/>
    <x v="209"/>
    <x v="144"/>
    <x v="1618"/>
  </r>
  <r>
    <x v="3"/>
    <x v="43"/>
    <x v="144"/>
    <x v="1619"/>
  </r>
  <r>
    <x v="3"/>
    <x v="234"/>
    <x v="144"/>
    <x v="1620"/>
  </r>
  <r>
    <x v="4"/>
    <x v="18"/>
    <x v="144"/>
    <x v="1621"/>
  </r>
  <r>
    <x v="4"/>
    <x v="173"/>
    <x v="144"/>
    <x v="1622"/>
  </r>
  <r>
    <x v="4"/>
    <x v="49"/>
    <x v="144"/>
    <x v="1623"/>
  </r>
  <r>
    <x v="4"/>
    <x v="201"/>
    <x v="144"/>
    <x v="1624"/>
  </r>
  <r>
    <x v="4"/>
    <x v="11"/>
    <x v="144"/>
    <x v="1625"/>
  </r>
  <r>
    <x v="5"/>
    <x v="95"/>
    <x v="145"/>
    <x v="1626"/>
  </r>
  <r>
    <x v="7"/>
    <x v="54"/>
    <x v="145"/>
    <x v="1627"/>
  </r>
  <r>
    <x v="3"/>
    <x v="5"/>
    <x v="145"/>
    <x v="1628"/>
  </r>
  <r>
    <x v="3"/>
    <x v="226"/>
    <x v="145"/>
    <x v="1629"/>
  </r>
  <r>
    <x v="4"/>
    <x v="77"/>
    <x v="145"/>
    <x v="1630"/>
  </r>
  <r>
    <x v="4"/>
    <x v="77"/>
    <x v="145"/>
    <x v="1631"/>
  </r>
  <r>
    <x v="4"/>
    <x v="152"/>
    <x v="145"/>
    <x v="1632"/>
  </r>
  <r>
    <x v="5"/>
    <x v="82"/>
    <x v="146"/>
    <x v="1633"/>
  </r>
  <r>
    <x v="10"/>
    <x v="80"/>
    <x v="146"/>
    <x v="1634"/>
  </r>
  <r>
    <x v="7"/>
    <x v="150"/>
    <x v="146"/>
    <x v="1635"/>
  </r>
  <r>
    <x v="14"/>
    <x v="172"/>
    <x v="146"/>
    <x v="0"/>
  </r>
  <r>
    <x v="14"/>
    <x v="55"/>
    <x v="146"/>
    <x v="0"/>
  </r>
  <r>
    <x v="3"/>
    <x v="33"/>
    <x v="146"/>
    <x v="1636"/>
  </r>
  <r>
    <x v="3"/>
    <x v="35"/>
    <x v="146"/>
    <x v="1637"/>
  </r>
  <r>
    <x v="3"/>
    <x v="133"/>
    <x v="146"/>
    <x v="1638"/>
  </r>
  <r>
    <x v="3"/>
    <x v="73"/>
    <x v="146"/>
    <x v="1639"/>
  </r>
  <r>
    <x v="4"/>
    <x v="152"/>
    <x v="146"/>
    <x v="152"/>
  </r>
  <r>
    <x v="5"/>
    <x v="157"/>
    <x v="147"/>
    <x v="1640"/>
  </r>
  <r>
    <x v="5"/>
    <x v="60"/>
    <x v="147"/>
    <x v="1641"/>
  </r>
  <r>
    <x v="5"/>
    <x v="193"/>
    <x v="147"/>
    <x v="1642"/>
  </r>
  <r>
    <x v="9"/>
    <x v="23"/>
    <x v="147"/>
    <x v="0"/>
  </r>
  <r>
    <x v="0"/>
    <x v="123"/>
    <x v="147"/>
    <x v="1643"/>
  </r>
  <r>
    <x v="14"/>
    <x v="224"/>
    <x v="147"/>
    <x v="1644"/>
  </r>
  <r>
    <x v="4"/>
    <x v="110"/>
    <x v="147"/>
    <x v="1645"/>
  </r>
  <r>
    <x v="4"/>
    <x v="50"/>
    <x v="147"/>
    <x v="1646"/>
  </r>
  <r>
    <x v="8"/>
    <x v="21"/>
    <x v="148"/>
    <x v="1647"/>
  </r>
  <r>
    <x v="12"/>
    <x v="142"/>
    <x v="148"/>
    <x v="0"/>
  </r>
  <r>
    <x v="5"/>
    <x v="50"/>
    <x v="148"/>
    <x v="1648"/>
  </r>
  <r>
    <x v="9"/>
    <x v="24"/>
    <x v="148"/>
    <x v="1649"/>
  </r>
  <r>
    <x v="0"/>
    <x v="126"/>
    <x v="148"/>
    <x v="1650"/>
  </r>
  <r>
    <x v="16"/>
    <x v="81"/>
    <x v="148"/>
    <x v="1651"/>
  </r>
  <r>
    <x v="14"/>
    <x v="218"/>
    <x v="148"/>
    <x v="1652"/>
  </r>
  <r>
    <x v="2"/>
    <x v="162"/>
    <x v="148"/>
    <x v="1653"/>
  </r>
  <r>
    <x v="3"/>
    <x v="43"/>
    <x v="148"/>
    <x v="1654"/>
  </r>
  <r>
    <x v="4"/>
    <x v="62"/>
    <x v="148"/>
    <x v="1655"/>
  </r>
  <r>
    <x v="4"/>
    <x v="111"/>
    <x v="148"/>
    <x v="1656"/>
  </r>
  <r>
    <x v="4"/>
    <x v="130"/>
    <x v="148"/>
    <x v="1657"/>
  </r>
  <r>
    <x v="5"/>
    <x v="64"/>
    <x v="149"/>
    <x v="1658"/>
  </r>
  <r>
    <x v="5"/>
    <x v="200"/>
    <x v="149"/>
    <x v="1659"/>
  </r>
  <r>
    <x v="9"/>
    <x v="97"/>
    <x v="149"/>
    <x v="254"/>
  </r>
  <r>
    <x v="6"/>
    <x v="25"/>
    <x v="149"/>
    <x v="1660"/>
  </r>
  <r>
    <x v="10"/>
    <x v="124"/>
    <x v="149"/>
    <x v="0"/>
  </r>
  <r>
    <x v="10"/>
    <x v="195"/>
    <x v="149"/>
    <x v="1661"/>
  </r>
  <r>
    <x v="7"/>
    <x v="217"/>
    <x v="149"/>
    <x v="1662"/>
  </r>
  <r>
    <x v="7"/>
    <x v="114"/>
    <x v="149"/>
    <x v="1663"/>
  </r>
  <r>
    <x v="2"/>
    <x v="163"/>
    <x v="149"/>
    <x v="1664"/>
  </r>
  <r>
    <x v="3"/>
    <x v="165"/>
    <x v="149"/>
    <x v="1665"/>
  </r>
  <r>
    <x v="4"/>
    <x v="10"/>
    <x v="149"/>
    <x v="1666"/>
  </r>
  <r>
    <x v="4"/>
    <x v="12"/>
    <x v="149"/>
    <x v="1667"/>
  </r>
  <r>
    <x v="6"/>
    <x v="194"/>
    <x v="150"/>
    <x v="0"/>
  </r>
  <r>
    <x v="1"/>
    <x v="99"/>
    <x v="150"/>
    <x v="1668"/>
  </r>
  <r>
    <x v="7"/>
    <x v="176"/>
    <x v="150"/>
    <x v="1669"/>
  </r>
  <r>
    <x v="7"/>
    <x v="46"/>
    <x v="150"/>
    <x v="1670"/>
  </r>
  <r>
    <x v="7"/>
    <x v="213"/>
    <x v="150"/>
    <x v="1671"/>
  </r>
  <r>
    <x v="7"/>
    <x v="15"/>
    <x v="150"/>
    <x v="1672"/>
  </r>
  <r>
    <x v="3"/>
    <x v="4"/>
    <x v="150"/>
    <x v="1673"/>
  </r>
  <r>
    <x v="4"/>
    <x v="117"/>
    <x v="150"/>
    <x v="1674"/>
  </r>
  <r>
    <x v="4"/>
    <x v="110"/>
    <x v="150"/>
    <x v="1675"/>
  </r>
  <r>
    <x v="4"/>
    <x v="120"/>
    <x v="150"/>
    <x v="1676"/>
  </r>
  <r>
    <x v="4"/>
    <x v="121"/>
    <x v="150"/>
    <x v="1677"/>
  </r>
  <r>
    <x v="5"/>
    <x v="174"/>
    <x v="151"/>
    <x v="1678"/>
  </r>
  <r>
    <x v="5"/>
    <x v="64"/>
    <x v="151"/>
    <x v="1679"/>
  </r>
  <r>
    <x v="0"/>
    <x v="113"/>
    <x v="151"/>
    <x v="1680"/>
  </r>
  <r>
    <x v="1"/>
    <x v="231"/>
    <x v="151"/>
    <x v="1681"/>
  </r>
  <r>
    <x v="3"/>
    <x v="165"/>
    <x v="151"/>
    <x v="1682"/>
  </r>
  <r>
    <x v="4"/>
    <x v="7"/>
    <x v="151"/>
    <x v="1683"/>
  </r>
  <r>
    <x v="4"/>
    <x v="59"/>
    <x v="151"/>
    <x v="1684"/>
  </r>
  <r>
    <x v="5"/>
    <x v="193"/>
    <x v="152"/>
    <x v="1685"/>
  </r>
  <r>
    <x v="0"/>
    <x v="185"/>
    <x v="152"/>
    <x v="1686"/>
  </r>
  <r>
    <x v="2"/>
    <x v="188"/>
    <x v="152"/>
    <x v="1687"/>
  </r>
  <r>
    <x v="3"/>
    <x v="33"/>
    <x v="152"/>
    <x v="1688"/>
  </r>
  <r>
    <x v="3"/>
    <x v="47"/>
    <x v="152"/>
    <x v="1689"/>
  </r>
  <r>
    <x v="4"/>
    <x v="57"/>
    <x v="152"/>
    <x v="1690"/>
  </r>
  <r>
    <x v="4"/>
    <x v="8"/>
    <x v="152"/>
    <x v="1691"/>
  </r>
  <r>
    <x v="4"/>
    <x v="8"/>
    <x v="152"/>
    <x v="1692"/>
  </r>
  <r>
    <x v="4"/>
    <x v="129"/>
    <x v="152"/>
    <x v="1693"/>
  </r>
  <r>
    <x v="4"/>
    <x v="51"/>
    <x v="152"/>
    <x v="1694"/>
  </r>
  <r>
    <x v="12"/>
    <x v="37"/>
    <x v="153"/>
    <x v="1695"/>
  </r>
  <r>
    <x v="5"/>
    <x v="86"/>
    <x v="153"/>
    <x v="1696"/>
  </r>
  <r>
    <x v="5"/>
    <x v="78"/>
    <x v="153"/>
    <x v="1697"/>
  </r>
  <r>
    <x v="7"/>
    <x v="223"/>
    <x v="153"/>
    <x v="1698"/>
  </r>
  <r>
    <x v="3"/>
    <x v="57"/>
    <x v="153"/>
    <x v="1699"/>
  </r>
  <r>
    <x v="3"/>
    <x v="32"/>
    <x v="153"/>
    <x v="1700"/>
  </r>
  <r>
    <x v="3"/>
    <x v="128"/>
    <x v="153"/>
    <x v="1701"/>
  </r>
  <r>
    <x v="3"/>
    <x v="73"/>
    <x v="153"/>
    <x v="1702"/>
  </r>
  <r>
    <x v="4"/>
    <x v="35"/>
    <x v="153"/>
    <x v="1703"/>
  </r>
  <r>
    <x v="4"/>
    <x v="120"/>
    <x v="153"/>
    <x v="1704"/>
  </r>
  <r>
    <x v="4"/>
    <x v="152"/>
    <x v="153"/>
    <x v="1705"/>
  </r>
  <r>
    <x v="10"/>
    <x v="100"/>
    <x v="154"/>
    <x v="1706"/>
  </r>
  <r>
    <x v="10"/>
    <x v="175"/>
    <x v="154"/>
    <x v="1707"/>
  </r>
  <r>
    <x v="2"/>
    <x v="41"/>
    <x v="154"/>
    <x v="1708"/>
  </r>
  <r>
    <x v="2"/>
    <x v="5"/>
    <x v="154"/>
    <x v="1709"/>
  </r>
  <r>
    <x v="3"/>
    <x v="43"/>
    <x v="154"/>
    <x v="1710"/>
  </r>
  <r>
    <x v="3"/>
    <x v="93"/>
    <x v="154"/>
    <x v="1711"/>
  </r>
  <r>
    <x v="3"/>
    <x v="109"/>
    <x v="154"/>
    <x v="1712"/>
  </r>
  <r>
    <x v="3"/>
    <x v="17"/>
    <x v="154"/>
    <x v="1713"/>
  </r>
  <r>
    <x v="3"/>
    <x v="152"/>
    <x v="154"/>
    <x v="1714"/>
  </r>
  <r>
    <x v="4"/>
    <x v="94"/>
    <x v="154"/>
    <x v="1715"/>
  </r>
  <r>
    <x v="4"/>
    <x v="59"/>
    <x v="154"/>
    <x v="1716"/>
  </r>
  <r>
    <x v="4"/>
    <x v="63"/>
    <x v="154"/>
    <x v="1717"/>
  </r>
  <r>
    <x v="8"/>
    <x v="81"/>
    <x v="155"/>
    <x v="1718"/>
  </r>
  <r>
    <x v="5"/>
    <x v="178"/>
    <x v="155"/>
    <x v="1719"/>
  </r>
  <r>
    <x v="9"/>
    <x v="179"/>
    <x v="155"/>
    <x v="1720"/>
  </r>
  <r>
    <x v="6"/>
    <x v="203"/>
    <x v="155"/>
    <x v="1721"/>
  </r>
  <r>
    <x v="2"/>
    <x v="2"/>
    <x v="155"/>
    <x v="1722"/>
  </r>
  <r>
    <x v="2"/>
    <x v="70"/>
    <x v="155"/>
    <x v="1723"/>
  </r>
  <r>
    <x v="3"/>
    <x v="35"/>
    <x v="155"/>
    <x v="1724"/>
  </r>
  <r>
    <x v="3"/>
    <x v="92"/>
    <x v="155"/>
    <x v="17"/>
  </r>
  <r>
    <x v="3"/>
    <x v="235"/>
    <x v="155"/>
    <x v="1725"/>
  </r>
  <r>
    <x v="4"/>
    <x v="7"/>
    <x v="155"/>
    <x v="1726"/>
  </r>
  <r>
    <x v="4"/>
    <x v="94"/>
    <x v="155"/>
    <x v="1727"/>
  </r>
  <r>
    <x v="4"/>
    <x v="117"/>
    <x v="155"/>
    <x v="1728"/>
  </r>
  <r>
    <x v="8"/>
    <x v="21"/>
    <x v="156"/>
    <x v="0"/>
  </r>
  <r>
    <x v="15"/>
    <x v="198"/>
    <x v="156"/>
    <x v="1729"/>
  </r>
  <r>
    <x v="7"/>
    <x v="217"/>
    <x v="156"/>
    <x v="1730"/>
  </r>
  <r>
    <x v="7"/>
    <x v="46"/>
    <x v="156"/>
    <x v="1731"/>
  </r>
  <r>
    <x v="2"/>
    <x v="146"/>
    <x v="156"/>
    <x v="1732"/>
  </r>
  <r>
    <x v="3"/>
    <x v="202"/>
    <x v="156"/>
    <x v="1733"/>
  </r>
  <r>
    <x v="3"/>
    <x v="234"/>
    <x v="156"/>
    <x v="1734"/>
  </r>
  <r>
    <x v="4"/>
    <x v="57"/>
    <x v="156"/>
    <x v="1735"/>
  </r>
  <r>
    <x v="4"/>
    <x v="120"/>
    <x v="156"/>
    <x v="1736"/>
  </r>
  <r>
    <x v="4"/>
    <x v="20"/>
    <x v="156"/>
    <x v="1737"/>
  </r>
  <r>
    <x v="5"/>
    <x v="77"/>
    <x v="157"/>
    <x v="1738"/>
  </r>
  <r>
    <x v="5"/>
    <x v="111"/>
    <x v="157"/>
    <x v="1739"/>
  </r>
  <r>
    <x v="15"/>
    <x v="144"/>
    <x v="157"/>
    <x v="1740"/>
  </r>
  <r>
    <x v="6"/>
    <x v="151"/>
    <x v="157"/>
    <x v="1741"/>
  </r>
  <r>
    <x v="10"/>
    <x v="145"/>
    <x v="157"/>
    <x v="1742"/>
  </r>
  <r>
    <x v="13"/>
    <x v="40"/>
    <x v="157"/>
    <x v="1743"/>
  </r>
  <r>
    <x v="2"/>
    <x v="214"/>
    <x v="157"/>
    <x v="1744"/>
  </r>
  <r>
    <x v="2"/>
    <x v="162"/>
    <x v="157"/>
    <x v="1745"/>
  </r>
  <r>
    <x v="2"/>
    <x v="188"/>
    <x v="157"/>
    <x v="1746"/>
  </r>
  <r>
    <x v="2"/>
    <x v="164"/>
    <x v="157"/>
    <x v="1747"/>
  </r>
  <r>
    <x v="4"/>
    <x v="117"/>
    <x v="157"/>
    <x v="1748"/>
  </r>
  <r>
    <x v="4"/>
    <x v="215"/>
    <x v="157"/>
    <x v="1749"/>
  </r>
  <r>
    <x v="4"/>
    <x v="50"/>
    <x v="157"/>
    <x v="1750"/>
  </r>
  <r>
    <x v="4"/>
    <x v="141"/>
    <x v="157"/>
    <x v="1751"/>
  </r>
  <r>
    <x v="4"/>
    <x v="10"/>
    <x v="157"/>
    <x v="1752"/>
  </r>
  <r>
    <x v="5"/>
    <x v="17"/>
    <x v="158"/>
    <x v="1753"/>
  </r>
  <r>
    <x v="6"/>
    <x v="169"/>
    <x v="158"/>
    <x v="1754"/>
  </r>
  <r>
    <x v="7"/>
    <x v="171"/>
    <x v="158"/>
    <x v="1755"/>
  </r>
  <r>
    <x v="2"/>
    <x v="233"/>
    <x v="158"/>
    <x v="1756"/>
  </r>
  <r>
    <x v="3"/>
    <x v="116"/>
    <x v="158"/>
    <x v="1757"/>
  </r>
  <r>
    <x v="3"/>
    <x v="19"/>
    <x v="158"/>
    <x v="1758"/>
  </r>
  <r>
    <x v="3"/>
    <x v="59"/>
    <x v="158"/>
    <x v="1759"/>
  </r>
  <r>
    <x v="4"/>
    <x v="18"/>
    <x v="158"/>
    <x v="1760"/>
  </r>
  <r>
    <x v="4"/>
    <x v="35"/>
    <x v="158"/>
    <x v="1761"/>
  </r>
  <r>
    <x v="4"/>
    <x v="110"/>
    <x v="158"/>
    <x v="1762"/>
  </r>
  <r>
    <x v="4"/>
    <x v="20"/>
    <x v="158"/>
    <x v="1763"/>
  </r>
  <r>
    <x v="4"/>
    <x v="11"/>
    <x v="158"/>
    <x v="1764"/>
  </r>
  <r>
    <x v="5"/>
    <x v="12"/>
    <x v="159"/>
    <x v="1765"/>
  </r>
  <r>
    <x v="1"/>
    <x v="204"/>
    <x v="159"/>
    <x v="1766"/>
  </r>
  <r>
    <x v="10"/>
    <x v="101"/>
    <x v="159"/>
    <x v="1767"/>
  </r>
  <r>
    <x v="16"/>
    <x v="187"/>
    <x v="159"/>
    <x v="1768"/>
  </r>
  <r>
    <x v="13"/>
    <x v="39"/>
    <x v="159"/>
    <x v="1769"/>
  </r>
  <r>
    <x v="14"/>
    <x v="197"/>
    <x v="159"/>
    <x v="1770"/>
  </r>
  <r>
    <x v="3"/>
    <x v="22"/>
    <x v="159"/>
    <x v="1771"/>
  </r>
  <r>
    <x v="3"/>
    <x v="16"/>
    <x v="159"/>
    <x v="1772"/>
  </r>
  <r>
    <x v="3"/>
    <x v="139"/>
    <x v="159"/>
    <x v="1773"/>
  </r>
  <r>
    <x v="4"/>
    <x v="83"/>
    <x v="159"/>
    <x v="1774"/>
  </r>
  <r>
    <x v="4"/>
    <x v="121"/>
    <x v="159"/>
    <x v="1775"/>
  </r>
  <r>
    <x v="6"/>
    <x v="25"/>
    <x v="160"/>
    <x v="1776"/>
  </r>
  <r>
    <x v="6"/>
    <x v="131"/>
    <x v="160"/>
    <x v="1777"/>
  </r>
  <r>
    <x v="11"/>
    <x v="30"/>
    <x v="160"/>
    <x v="1778"/>
  </r>
  <r>
    <x v="7"/>
    <x v="126"/>
    <x v="160"/>
    <x v="1779"/>
  </r>
  <r>
    <x v="7"/>
    <x v="161"/>
    <x v="160"/>
    <x v="1780"/>
  </r>
  <r>
    <x v="3"/>
    <x v="211"/>
    <x v="160"/>
    <x v="1781"/>
  </r>
  <r>
    <x v="4"/>
    <x v="34"/>
    <x v="160"/>
    <x v="1782"/>
  </r>
  <r>
    <x v="4"/>
    <x v="215"/>
    <x v="160"/>
    <x v="1783"/>
  </r>
  <r>
    <x v="4"/>
    <x v="51"/>
    <x v="160"/>
    <x v="1784"/>
  </r>
  <r>
    <x v="5"/>
    <x v="52"/>
    <x v="161"/>
    <x v="1785"/>
  </r>
  <r>
    <x v="10"/>
    <x v="61"/>
    <x v="161"/>
    <x v="1786"/>
  </r>
  <r>
    <x v="7"/>
    <x v="176"/>
    <x v="161"/>
    <x v="1787"/>
  </r>
  <r>
    <x v="3"/>
    <x v="56"/>
    <x v="161"/>
    <x v="1788"/>
  </r>
  <r>
    <x v="4"/>
    <x v="82"/>
    <x v="161"/>
    <x v="1789"/>
  </r>
  <r>
    <x v="4"/>
    <x v="48"/>
    <x v="161"/>
    <x v="1790"/>
  </r>
  <r>
    <x v="4"/>
    <x v="58"/>
    <x v="161"/>
    <x v="1250"/>
  </r>
  <r>
    <x v="5"/>
    <x v="18"/>
    <x v="162"/>
    <x v="1791"/>
  </r>
  <r>
    <x v="9"/>
    <x v="23"/>
    <x v="162"/>
    <x v="1792"/>
  </r>
  <r>
    <x v="6"/>
    <x v="195"/>
    <x v="162"/>
    <x v="1045"/>
  </r>
  <r>
    <x v="14"/>
    <x v="218"/>
    <x v="162"/>
    <x v="1793"/>
  </r>
  <r>
    <x v="3"/>
    <x v="33"/>
    <x v="162"/>
    <x v="1794"/>
  </r>
  <r>
    <x v="3"/>
    <x v="22"/>
    <x v="162"/>
    <x v="1113"/>
  </r>
  <r>
    <x v="3"/>
    <x v="5"/>
    <x v="162"/>
    <x v="1795"/>
  </r>
  <r>
    <x v="4"/>
    <x v="82"/>
    <x v="162"/>
    <x v="1796"/>
  </r>
  <r>
    <x v="4"/>
    <x v="110"/>
    <x v="162"/>
    <x v="1797"/>
  </r>
  <r>
    <x v="4"/>
    <x v="36"/>
    <x v="162"/>
    <x v="1798"/>
  </r>
  <r>
    <x v="4"/>
    <x v="84"/>
    <x v="162"/>
    <x v="1799"/>
  </r>
  <r>
    <x v="4"/>
    <x v="9"/>
    <x v="162"/>
    <x v="212"/>
  </r>
  <r>
    <x v="4"/>
    <x v="9"/>
    <x v="162"/>
    <x v="1800"/>
  </r>
  <r>
    <x v="4"/>
    <x v="119"/>
    <x v="162"/>
    <x v="1801"/>
  </r>
  <r>
    <x v="9"/>
    <x v="97"/>
    <x v="163"/>
    <x v="1802"/>
  </r>
  <r>
    <x v="6"/>
    <x v="98"/>
    <x v="163"/>
    <x v="1803"/>
  </r>
  <r>
    <x v="1"/>
    <x v="1"/>
    <x v="163"/>
    <x v="1804"/>
  </r>
  <r>
    <x v="11"/>
    <x v="29"/>
    <x v="163"/>
    <x v="1805"/>
  </r>
  <r>
    <x v="2"/>
    <x v="163"/>
    <x v="163"/>
    <x v="1806"/>
  </r>
  <r>
    <x v="3"/>
    <x v="31"/>
    <x v="163"/>
    <x v="1807"/>
  </r>
  <r>
    <x v="3"/>
    <x v="226"/>
    <x v="163"/>
    <x v="173"/>
  </r>
  <r>
    <x v="3"/>
    <x v="134"/>
    <x v="163"/>
    <x v="1808"/>
  </r>
  <r>
    <x v="3"/>
    <x v="10"/>
    <x v="163"/>
    <x v="1809"/>
  </r>
  <r>
    <x v="3"/>
    <x v="74"/>
    <x v="163"/>
    <x v="1810"/>
  </r>
  <r>
    <x v="4"/>
    <x v="48"/>
    <x v="163"/>
    <x v="1811"/>
  </r>
  <r>
    <x v="4"/>
    <x v="118"/>
    <x v="163"/>
    <x v="1812"/>
  </r>
  <r>
    <x v="4"/>
    <x v="11"/>
    <x v="163"/>
    <x v="1813"/>
  </r>
  <r>
    <x v="12"/>
    <x v="26"/>
    <x v="164"/>
    <x v="1814"/>
  </r>
  <r>
    <x v="5"/>
    <x v="136"/>
    <x v="164"/>
    <x v="1815"/>
  </r>
  <r>
    <x v="6"/>
    <x v="159"/>
    <x v="164"/>
    <x v="1816"/>
  </r>
  <r>
    <x v="7"/>
    <x v="200"/>
    <x v="164"/>
    <x v="1817"/>
  </r>
  <r>
    <x v="14"/>
    <x v="138"/>
    <x v="164"/>
    <x v="1818"/>
  </r>
  <r>
    <x v="3"/>
    <x v="128"/>
    <x v="164"/>
    <x v="1819"/>
  </r>
  <r>
    <x v="4"/>
    <x v="75"/>
    <x v="164"/>
    <x v="1820"/>
  </r>
  <r>
    <x v="4"/>
    <x v="72"/>
    <x v="164"/>
    <x v="1821"/>
  </r>
  <r>
    <x v="4"/>
    <x v="77"/>
    <x v="164"/>
    <x v="1822"/>
  </r>
  <r>
    <x v="4"/>
    <x v="140"/>
    <x v="164"/>
    <x v="1823"/>
  </r>
  <r>
    <x v="4"/>
    <x v="51"/>
    <x v="164"/>
    <x v="1824"/>
  </r>
  <r>
    <x v="5"/>
    <x v="149"/>
    <x v="165"/>
    <x v="1825"/>
  </r>
  <r>
    <x v="5"/>
    <x v="76"/>
    <x v="165"/>
    <x v="1826"/>
  </r>
  <r>
    <x v="0"/>
    <x v="88"/>
    <x v="165"/>
    <x v="1827"/>
  </r>
  <r>
    <x v="15"/>
    <x v="221"/>
    <x v="165"/>
    <x v="1828"/>
  </r>
  <r>
    <x v="6"/>
    <x v="90"/>
    <x v="165"/>
    <x v="1829"/>
  </r>
  <r>
    <x v="10"/>
    <x v="80"/>
    <x v="165"/>
    <x v="1830"/>
  </r>
  <r>
    <x v="7"/>
    <x v="150"/>
    <x v="165"/>
    <x v="1831"/>
  </r>
  <r>
    <x v="7"/>
    <x v="205"/>
    <x v="165"/>
    <x v="1832"/>
  </r>
  <r>
    <x v="7"/>
    <x v="27"/>
    <x v="165"/>
    <x v="1833"/>
  </r>
  <r>
    <x v="14"/>
    <x v="206"/>
    <x v="165"/>
    <x v="1834"/>
  </r>
  <r>
    <x v="2"/>
    <x v="184"/>
    <x v="165"/>
    <x v="1835"/>
  </r>
  <r>
    <x v="3"/>
    <x v="108"/>
    <x v="165"/>
    <x v="1836"/>
  </r>
  <r>
    <x v="4"/>
    <x v="82"/>
    <x v="165"/>
    <x v="1837"/>
  </r>
  <r>
    <x v="4"/>
    <x v="76"/>
    <x v="165"/>
    <x v="1838"/>
  </r>
  <r>
    <x v="4"/>
    <x v="227"/>
    <x v="165"/>
    <x v="1839"/>
  </r>
  <r>
    <x v="4"/>
    <x v="36"/>
    <x v="165"/>
    <x v="1840"/>
  </r>
  <r>
    <x v="5"/>
    <x v="95"/>
    <x v="166"/>
    <x v="1841"/>
  </r>
  <r>
    <x v="5"/>
    <x v="107"/>
    <x v="166"/>
    <x v="259"/>
  </r>
  <r>
    <x v="0"/>
    <x v="194"/>
    <x v="166"/>
    <x v="1842"/>
  </r>
  <r>
    <x v="0"/>
    <x v="143"/>
    <x v="166"/>
    <x v="1843"/>
  </r>
  <r>
    <x v="7"/>
    <x v="65"/>
    <x v="166"/>
    <x v="1844"/>
  </r>
  <r>
    <x v="2"/>
    <x v="72"/>
    <x v="166"/>
    <x v="1419"/>
  </r>
  <r>
    <x v="2"/>
    <x v="3"/>
    <x v="166"/>
    <x v="0"/>
  </r>
  <r>
    <x v="3"/>
    <x v="56"/>
    <x v="166"/>
    <x v="1810"/>
  </r>
  <r>
    <x v="4"/>
    <x v="35"/>
    <x v="166"/>
    <x v="1845"/>
  </r>
  <r>
    <x v="4"/>
    <x v="62"/>
    <x v="166"/>
    <x v="1846"/>
  </r>
  <r>
    <x v="4"/>
    <x v="118"/>
    <x v="166"/>
    <x v="1847"/>
  </r>
  <r>
    <x v="4"/>
    <x v="173"/>
    <x v="166"/>
    <x v="1848"/>
  </r>
  <r>
    <x v="4"/>
    <x v="36"/>
    <x v="166"/>
    <x v="1849"/>
  </r>
  <r>
    <x v="4"/>
    <x v="20"/>
    <x v="166"/>
    <x v="1850"/>
  </r>
  <r>
    <x v="12"/>
    <x v="85"/>
    <x v="167"/>
    <x v="1851"/>
  </r>
  <r>
    <x v="12"/>
    <x v="181"/>
    <x v="167"/>
    <x v="1852"/>
  </r>
  <r>
    <x v="5"/>
    <x v="208"/>
    <x v="167"/>
    <x v="1853"/>
  </r>
  <r>
    <x v="5"/>
    <x v="66"/>
    <x v="167"/>
    <x v="1854"/>
  </r>
  <r>
    <x v="6"/>
    <x v="14"/>
    <x v="167"/>
    <x v="1855"/>
  </r>
  <r>
    <x v="1"/>
    <x v="137"/>
    <x v="167"/>
    <x v="1856"/>
  </r>
  <r>
    <x v="14"/>
    <x v="232"/>
    <x v="167"/>
    <x v="1857"/>
  </r>
  <r>
    <x v="2"/>
    <x v="210"/>
    <x v="167"/>
    <x v="1858"/>
  </r>
  <r>
    <x v="3"/>
    <x v="234"/>
    <x v="167"/>
    <x v="1859"/>
  </r>
  <r>
    <x v="4"/>
    <x v="215"/>
    <x v="167"/>
    <x v="1860"/>
  </r>
  <r>
    <x v="4"/>
    <x v="19"/>
    <x v="167"/>
    <x v="1861"/>
  </r>
  <r>
    <x v="4"/>
    <x v="141"/>
    <x v="167"/>
    <x v="1862"/>
  </r>
  <r>
    <x v="4"/>
    <x v="20"/>
    <x v="167"/>
    <x v="1863"/>
  </r>
  <r>
    <x v="12"/>
    <x v="154"/>
    <x v="168"/>
    <x v="1864"/>
  </r>
  <r>
    <x v="5"/>
    <x v="130"/>
    <x v="168"/>
    <x v="1865"/>
  </r>
  <r>
    <x v="1"/>
    <x v="222"/>
    <x v="168"/>
    <x v="1866"/>
  </r>
  <r>
    <x v="7"/>
    <x v="54"/>
    <x v="168"/>
    <x v="1867"/>
  </r>
  <r>
    <x v="2"/>
    <x v="207"/>
    <x v="168"/>
    <x v="1868"/>
  </r>
  <r>
    <x v="4"/>
    <x v="75"/>
    <x v="168"/>
    <x v="1869"/>
  </r>
  <r>
    <x v="4"/>
    <x v="167"/>
    <x v="168"/>
    <x v="1870"/>
  </r>
  <r>
    <x v="4"/>
    <x v="8"/>
    <x v="168"/>
    <x v="529"/>
  </r>
  <r>
    <x v="4"/>
    <x v="18"/>
    <x v="168"/>
    <x v="1871"/>
  </r>
  <r>
    <x v="4"/>
    <x v="77"/>
    <x v="168"/>
    <x v="1872"/>
  </r>
  <r>
    <x v="4"/>
    <x v="111"/>
    <x v="168"/>
    <x v="1873"/>
  </r>
  <r>
    <x v="5"/>
    <x v="9"/>
    <x v="169"/>
    <x v="1874"/>
  </r>
  <r>
    <x v="5"/>
    <x v="87"/>
    <x v="169"/>
    <x v="1875"/>
  </r>
  <r>
    <x v="0"/>
    <x v="0"/>
    <x v="169"/>
    <x v="1876"/>
  </r>
  <r>
    <x v="0"/>
    <x v="183"/>
    <x v="169"/>
    <x v="1877"/>
  </r>
  <r>
    <x v="1"/>
    <x v="99"/>
    <x v="169"/>
    <x v="1878"/>
  </r>
  <r>
    <x v="10"/>
    <x v="170"/>
    <x v="169"/>
    <x v="1879"/>
  </r>
  <r>
    <x v="10"/>
    <x v="53"/>
    <x v="169"/>
    <x v="1880"/>
  </r>
  <r>
    <x v="7"/>
    <x v="114"/>
    <x v="169"/>
    <x v="1358"/>
  </r>
  <r>
    <x v="3"/>
    <x v="234"/>
    <x v="169"/>
    <x v="1881"/>
  </r>
  <r>
    <x v="3"/>
    <x v="133"/>
    <x v="169"/>
    <x v="1882"/>
  </r>
  <r>
    <x v="3"/>
    <x v="236"/>
    <x v="169"/>
    <x v="1883"/>
  </r>
  <r>
    <x v="4"/>
    <x v="18"/>
    <x v="169"/>
    <x v="1884"/>
  </r>
  <r>
    <x v="4"/>
    <x v="50"/>
    <x v="169"/>
    <x v="1885"/>
  </r>
  <r>
    <x v="12"/>
    <x v="142"/>
    <x v="170"/>
    <x v="1886"/>
  </r>
  <r>
    <x v="5"/>
    <x v="60"/>
    <x v="170"/>
    <x v="1887"/>
  </r>
  <r>
    <x v="2"/>
    <x v="225"/>
    <x v="170"/>
    <x v="1888"/>
  </r>
  <r>
    <x v="3"/>
    <x v="47"/>
    <x v="170"/>
    <x v="1889"/>
  </r>
  <r>
    <x v="3"/>
    <x v="73"/>
    <x v="170"/>
    <x v="1890"/>
  </r>
  <r>
    <x v="3"/>
    <x v="111"/>
    <x v="170"/>
    <x v="1891"/>
  </r>
  <r>
    <x v="4"/>
    <x v="57"/>
    <x v="170"/>
    <x v="1892"/>
  </r>
  <r>
    <x v="4"/>
    <x v="167"/>
    <x v="170"/>
    <x v="1893"/>
  </r>
  <r>
    <x v="4"/>
    <x v="19"/>
    <x v="170"/>
    <x v="1894"/>
  </r>
  <r>
    <x v="4"/>
    <x v="58"/>
    <x v="170"/>
    <x v="1895"/>
  </r>
  <r>
    <x v="4"/>
    <x v="141"/>
    <x v="170"/>
    <x v="1896"/>
  </r>
  <r>
    <x v="12"/>
    <x v="132"/>
    <x v="171"/>
    <x v="1897"/>
  </r>
  <r>
    <x v="12"/>
    <x v="44"/>
    <x v="171"/>
    <x v="1898"/>
  </r>
  <r>
    <x v="10"/>
    <x v="124"/>
    <x v="171"/>
    <x v="1899"/>
  </r>
  <r>
    <x v="11"/>
    <x v="212"/>
    <x v="171"/>
    <x v="1900"/>
  </r>
  <r>
    <x v="2"/>
    <x v="209"/>
    <x v="171"/>
    <x v="1901"/>
  </r>
  <r>
    <x v="17"/>
    <x v="106"/>
    <x v="171"/>
    <x v="1902"/>
  </r>
  <r>
    <x v="3"/>
    <x v="4"/>
    <x v="171"/>
    <x v="1903"/>
  </r>
  <r>
    <x v="3"/>
    <x v="211"/>
    <x v="171"/>
    <x v="1904"/>
  </r>
  <r>
    <x v="3"/>
    <x v="116"/>
    <x v="171"/>
    <x v="1905"/>
  </r>
  <r>
    <x v="3"/>
    <x v="139"/>
    <x v="171"/>
    <x v="1906"/>
  </r>
  <r>
    <x v="4"/>
    <x v="201"/>
    <x v="171"/>
    <x v="1907"/>
  </r>
  <r>
    <x v="4"/>
    <x v="119"/>
    <x v="171"/>
    <x v="1908"/>
  </r>
  <r>
    <x v="5"/>
    <x v="83"/>
    <x v="172"/>
    <x v="1909"/>
  </r>
  <r>
    <x v="15"/>
    <x v="180"/>
    <x v="172"/>
    <x v="1910"/>
  </r>
  <r>
    <x v="7"/>
    <x v="186"/>
    <x v="172"/>
    <x v="1911"/>
  </r>
  <r>
    <x v="14"/>
    <x v="224"/>
    <x v="172"/>
    <x v="0"/>
  </r>
  <r>
    <x v="2"/>
    <x v="91"/>
    <x v="172"/>
    <x v="1912"/>
  </r>
  <r>
    <x v="3"/>
    <x v="133"/>
    <x v="172"/>
    <x v="1913"/>
  </r>
  <r>
    <x v="4"/>
    <x v="7"/>
    <x v="172"/>
    <x v="1914"/>
  </r>
  <r>
    <x v="4"/>
    <x v="153"/>
    <x v="172"/>
    <x v="1915"/>
  </r>
  <r>
    <x v="4"/>
    <x v="16"/>
    <x v="172"/>
    <x v="1916"/>
  </r>
  <r>
    <x v="4"/>
    <x v="173"/>
    <x v="172"/>
    <x v="1917"/>
  </r>
  <r>
    <x v="4"/>
    <x v="49"/>
    <x v="172"/>
    <x v="1918"/>
  </r>
  <r>
    <x v="4"/>
    <x v="110"/>
    <x v="172"/>
    <x v="1919"/>
  </r>
  <r>
    <x v="4"/>
    <x v="152"/>
    <x v="172"/>
    <x v="1920"/>
  </r>
  <r>
    <x v="18"/>
    <x v="155"/>
    <x v="173"/>
    <x v="1921"/>
  </r>
  <r>
    <x v="14"/>
    <x v="55"/>
    <x v="173"/>
    <x v="1922"/>
  </r>
  <r>
    <x v="2"/>
    <x v="13"/>
    <x v="173"/>
    <x v="1923"/>
  </r>
  <r>
    <x v="3"/>
    <x v="147"/>
    <x v="173"/>
    <x v="1924"/>
  </r>
  <r>
    <x v="3"/>
    <x v="219"/>
    <x v="173"/>
    <x v="1925"/>
  </r>
  <r>
    <x v="3"/>
    <x v="32"/>
    <x v="173"/>
    <x v="1926"/>
  </r>
  <r>
    <x v="3"/>
    <x v="166"/>
    <x v="173"/>
    <x v="1927"/>
  </r>
  <r>
    <x v="4"/>
    <x v="82"/>
    <x v="173"/>
    <x v="1928"/>
  </r>
  <r>
    <x v="4"/>
    <x v="18"/>
    <x v="173"/>
    <x v="1929"/>
  </r>
  <r>
    <x v="4"/>
    <x v="48"/>
    <x v="173"/>
    <x v="1930"/>
  </r>
  <r>
    <x v="4"/>
    <x v="117"/>
    <x v="173"/>
    <x v="1931"/>
  </r>
  <r>
    <x v="4"/>
    <x v="63"/>
    <x v="173"/>
    <x v="1932"/>
  </r>
  <r>
    <x v="4"/>
    <x v="152"/>
    <x v="173"/>
    <x v="1933"/>
  </r>
  <r>
    <x v="5"/>
    <x v="64"/>
    <x v="174"/>
    <x v="1619"/>
  </r>
  <r>
    <x v="5"/>
    <x v="177"/>
    <x v="174"/>
    <x v="1934"/>
  </r>
  <r>
    <x v="0"/>
    <x v="38"/>
    <x v="174"/>
    <x v="1935"/>
  </r>
  <r>
    <x v="10"/>
    <x v="102"/>
    <x v="174"/>
    <x v="1936"/>
  </r>
  <r>
    <x v="10"/>
    <x v="196"/>
    <x v="174"/>
    <x v="1937"/>
  </r>
  <r>
    <x v="2"/>
    <x v="115"/>
    <x v="174"/>
    <x v="1938"/>
  </r>
  <r>
    <x v="4"/>
    <x v="34"/>
    <x v="174"/>
    <x v="1939"/>
  </r>
  <r>
    <x v="4"/>
    <x v="35"/>
    <x v="174"/>
    <x v="1940"/>
  </r>
  <r>
    <x v="4"/>
    <x v="49"/>
    <x v="174"/>
    <x v="1941"/>
  </r>
  <r>
    <x v="4"/>
    <x v="50"/>
    <x v="174"/>
    <x v="1942"/>
  </r>
  <r>
    <x v="4"/>
    <x v="84"/>
    <x v="174"/>
    <x v="1608"/>
  </r>
  <r>
    <x v="4"/>
    <x v="12"/>
    <x v="174"/>
    <x v="1943"/>
  </r>
  <r>
    <x v="5"/>
    <x v="228"/>
    <x v="175"/>
    <x v="1944"/>
  </r>
  <r>
    <x v="5"/>
    <x v="42"/>
    <x v="175"/>
    <x v="1945"/>
  </r>
  <r>
    <x v="5"/>
    <x v="220"/>
    <x v="175"/>
    <x v="1946"/>
  </r>
  <r>
    <x v="0"/>
    <x v="67"/>
    <x v="175"/>
    <x v="1947"/>
  </r>
  <r>
    <x v="10"/>
    <x v="191"/>
    <x v="175"/>
    <x v="1948"/>
  </r>
  <r>
    <x v="14"/>
    <x v="172"/>
    <x v="175"/>
    <x v="1949"/>
  </r>
  <r>
    <x v="3"/>
    <x v="43"/>
    <x v="175"/>
    <x v="1950"/>
  </r>
  <r>
    <x v="3"/>
    <x v="147"/>
    <x v="175"/>
    <x v="1951"/>
  </r>
  <r>
    <x v="4"/>
    <x v="8"/>
    <x v="175"/>
    <x v="1952"/>
  </r>
  <r>
    <x v="4"/>
    <x v="62"/>
    <x v="175"/>
    <x v="1953"/>
  </r>
  <r>
    <x v="8"/>
    <x v="189"/>
    <x v="176"/>
    <x v="1954"/>
  </r>
  <r>
    <x v="5"/>
    <x v="96"/>
    <x v="176"/>
    <x v="1955"/>
  </r>
  <r>
    <x v="9"/>
    <x v="24"/>
    <x v="176"/>
    <x v="1956"/>
  </r>
  <r>
    <x v="15"/>
    <x v="158"/>
    <x v="176"/>
    <x v="1957"/>
  </r>
  <r>
    <x v="10"/>
    <x v="28"/>
    <x v="176"/>
    <x v="1958"/>
  </r>
  <r>
    <x v="10"/>
    <x v="125"/>
    <x v="176"/>
    <x v="1959"/>
  </r>
  <r>
    <x v="2"/>
    <x v="104"/>
    <x v="176"/>
    <x v="1960"/>
  </r>
  <r>
    <x v="3"/>
    <x v="17"/>
    <x v="176"/>
    <x v="1961"/>
  </r>
  <r>
    <x v="3"/>
    <x v="6"/>
    <x v="176"/>
    <x v="948"/>
  </r>
  <r>
    <x v="4"/>
    <x v="8"/>
    <x v="176"/>
    <x v="1962"/>
  </r>
  <r>
    <x v="4"/>
    <x v="9"/>
    <x v="176"/>
    <x v="1963"/>
  </r>
  <r>
    <x v="12"/>
    <x v="127"/>
    <x v="177"/>
    <x v="1964"/>
  </r>
  <r>
    <x v="12"/>
    <x v="190"/>
    <x v="177"/>
    <x v="1965"/>
  </r>
  <r>
    <x v="5"/>
    <x v="45"/>
    <x v="177"/>
    <x v="1966"/>
  </r>
  <r>
    <x v="5"/>
    <x v="156"/>
    <x v="177"/>
    <x v="1967"/>
  </r>
  <r>
    <x v="5"/>
    <x v="168"/>
    <x v="177"/>
    <x v="1968"/>
  </r>
  <r>
    <x v="15"/>
    <x v="68"/>
    <x v="177"/>
    <x v="101"/>
  </r>
  <r>
    <x v="19"/>
    <x v="230"/>
    <x v="177"/>
    <x v="1969"/>
  </r>
  <r>
    <x v="10"/>
    <x v="15"/>
    <x v="177"/>
    <x v="1970"/>
  </r>
  <r>
    <x v="16"/>
    <x v="103"/>
    <x v="177"/>
    <x v="1971"/>
  </r>
  <r>
    <x v="7"/>
    <x v="213"/>
    <x v="177"/>
    <x v="1972"/>
  </r>
  <r>
    <x v="2"/>
    <x v="71"/>
    <x v="177"/>
    <x v="1973"/>
  </r>
  <r>
    <x v="2"/>
    <x v="105"/>
    <x v="177"/>
    <x v="1974"/>
  </r>
  <r>
    <x v="3"/>
    <x v="4"/>
    <x v="177"/>
    <x v="1975"/>
  </r>
  <r>
    <x v="3"/>
    <x v="234"/>
    <x v="177"/>
    <x v="1976"/>
  </r>
  <r>
    <x v="3"/>
    <x v="133"/>
    <x v="177"/>
    <x v="1977"/>
  </r>
  <r>
    <x v="4"/>
    <x v="8"/>
    <x v="177"/>
    <x v="1978"/>
  </r>
  <r>
    <x v="4"/>
    <x v="76"/>
    <x v="177"/>
    <x v="1979"/>
  </r>
  <r>
    <x v="4"/>
    <x v="77"/>
    <x v="177"/>
    <x v="1980"/>
  </r>
  <r>
    <x v="4"/>
    <x v="50"/>
    <x v="177"/>
    <x v="1981"/>
  </r>
  <r>
    <x v="5"/>
    <x v="157"/>
    <x v="178"/>
    <x v="1982"/>
  </r>
  <r>
    <x v="5"/>
    <x v="135"/>
    <x v="178"/>
    <x v="1983"/>
  </r>
  <r>
    <x v="15"/>
    <x v="89"/>
    <x v="178"/>
    <x v="0"/>
  </r>
  <r>
    <x v="6"/>
    <x v="160"/>
    <x v="178"/>
    <x v="1984"/>
  </r>
  <r>
    <x v="1"/>
    <x v="79"/>
    <x v="178"/>
    <x v="1985"/>
  </r>
  <r>
    <x v="7"/>
    <x v="192"/>
    <x v="178"/>
    <x v="1986"/>
  </r>
  <r>
    <x v="3"/>
    <x v="148"/>
    <x v="178"/>
    <x v="1987"/>
  </r>
  <r>
    <x v="4"/>
    <x v="94"/>
    <x v="178"/>
    <x v="1988"/>
  </r>
  <r>
    <x v="4"/>
    <x v="227"/>
    <x v="178"/>
    <x v="1989"/>
  </r>
  <r>
    <x v="4"/>
    <x v="118"/>
    <x v="178"/>
    <x v="1990"/>
  </r>
  <r>
    <x v="4"/>
    <x v="58"/>
    <x v="178"/>
    <x v="1991"/>
  </r>
  <r>
    <x v="5"/>
    <x v="10"/>
    <x v="179"/>
    <x v="1992"/>
  </r>
  <r>
    <x v="9"/>
    <x v="229"/>
    <x v="179"/>
    <x v="1993"/>
  </r>
  <r>
    <x v="0"/>
    <x v="122"/>
    <x v="179"/>
    <x v="1994"/>
  </r>
  <r>
    <x v="0"/>
    <x v="216"/>
    <x v="179"/>
    <x v="1995"/>
  </r>
  <r>
    <x v="7"/>
    <x v="182"/>
    <x v="179"/>
    <x v="1983"/>
  </r>
  <r>
    <x v="7"/>
    <x v="112"/>
    <x v="179"/>
    <x v="1996"/>
  </r>
  <r>
    <x v="2"/>
    <x v="69"/>
    <x v="179"/>
    <x v="1997"/>
  </r>
  <r>
    <x v="3"/>
    <x v="92"/>
    <x v="179"/>
    <x v="1998"/>
  </r>
  <r>
    <x v="3"/>
    <x v="92"/>
    <x v="179"/>
    <x v="1999"/>
  </r>
  <r>
    <x v="4"/>
    <x v="8"/>
    <x v="179"/>
    <x v="2000"/>
  </r>
  <r>
    <x v="4"/>
    <x v="8"/>
    <x v="179"/>
    <x v="2001"/>
  </r>
  <r>
    <x v="4"/>
    <x v="34"/>
    <x v="179"/>
    <x v="2002"/>
  </r>
  <r>
    <x v="4"/>
    <x v="35"/>
    <x v="179"/>
    <x v="2003"/>
  </r>
  <r>
    <x v="10"/>
    <x v="123"/>
    <x v="180"/>
    <x v="2004"/>
  </r>
  <r>
    <x v="7"/>
    <x v="199"/>
    <x v="180"/>
    <x v="2005"/>
  </r>
  <r>
    <x v="3"/>
    <x v="108"/>
    <x v="180"/>
    <x v="2006"/>
  </r>
  <r>
    <x v="4"/>
    <x v="75"/>
    <x v="180"/>
    <x v="2007"/>
  </r>
  <r>
    <x v="4"/>
    <x v="62"/>
    <x v="180"/>
    <x v="2008"/>
  </r>
  <r>
    <x v="4"/>
    <x v="173"/>
    <x v="180"/>
    <x v="2009"/>
  </r>
  <r>
    <x v="4"/>
    <x v="201"/>
    <x v="180"/>
    <x v="2010"/>
  </r>
  <r>
    <x v="4"/>
    <x v="10"/>
    <x v="180"/>
    <x v="2011"/>
  </r>
  <r>
    <x v="5"/>
    <x v="78"/>
    <x v="181"/>
    <x v="2012"/>
  </r>
  <r>
    <x v="5"/>
    <x v="141"/>
    <x v="181"/>
    <x v="2013"/>
  </r>
  <r>
    <x v="5"/>
    <x v="168"/>
    <x v="181"/>
    <x v="2014"/>
  </r>
  <r>
    <x v="3"/>
    <x v="5"/>
    <x v="181"/>
    <x v="2015"/>
  </r>
  <r>
    <x v="3"/>
    <x v="6"/>
    <x v="181"/>
    <x v="906"/>
  </r>
  <r>
    <x v="3"/>
    <x v="6"/>
    <x v="181"/>
    <x v="2016"/>
  </r>
  <r>
    <x v="4"/>
    <x v="8"/>
    <x v="181"/>
    <x v="2017"/>
  </r>
  <r>
    <x v="4"/>
    <x v="59"/>
    <x v="181"/>
    <x v="2018"/>
  </r>
  <r>
    <x v="4"/>
    <x v="9"/>
    <x v="181"/>
    <x v="2019"/>
  </r>
  <r>
    <x v="5"/>
    <x v="193"/>
    <x v="182"/>
    <x v="2020"/>
  </r>
  <r>
    <x v="0"/>
    <x v="27"/>
    <x v="182"/>
    <x v="2021"/>
  </r>
  <r>
    <x v="6"/>
    <x v="191"/>
    <x v="182"/>
    <x v="2022"/>
  </r>
  <r>
    <x v="3"/>
    <x v="43"/>
    <x v="182"/>
    <x v="2023"/>
  </r>
  <r>
    <x v="3"/>
    <x v="234"/>
    <x v="182"/>
    <x v="2024"/>
  </r>
  <r>
    <x v="4"/>
    <x v="49"/>
    <x v="182"/>
    <x v="2025"/>
  </r>
  <r>
    <x v="4"/>
    <x v="63"/>
    <x v="182"/>
    <x v="2026"/>
  </r>
  <r>
    <x v="4"/>
    <x v="120"/>
    <x v="182"/>
    <x v="2027"/>
  </r>
  <r>
    <x v="5"/>
    <x v="45"/>
    <x v="183"/>
    <x v="2028"/>
  </r>
  <r>
    <x v="9"/>
    <x v="179"/>
    <x v="183"/>
    <x v="2029"/>
  </r>
  <r>
    <x v="0"/>
    <x v="122"/>
    <x v="183"/>
    <x v="2030"/>
  </r>
  <r>
    <x v="0"/>
    <x v="132"/>
    <x v="183"/>
    <x v="2031"/>
  </r>
  <r>
    <x v="10"/>
    <x v="53"/>
    <x v="183"/>
    <x v="2032"/>
  </r>
  <r>
    <x v="13"/>
    <x v="187"/>
    <x v="183"/>
    <x v="2033"/>
  </r>
  <r>
    <x v="2"/>
    <x v="104"/>
    <x v="183"/>
    <x v="2034"/>
  </r>
  <r>
    <x v="4"/>
    <x v="19"/>
    <x v="183"/>
    <x v="2035"/>
  </r>
  <r>
    <x v="4"/>
    <x v="173"/>
    <x v="183"/>
    <x v="2036"/>
  </r>
  <r>
    <x v="4"/>
    <x v="77"/>
    <x v="183"/>
    <x v="2037"/>
  </r>
  <r>
    <x v="4"/>
    <x v="140"/>
    <x v="183"/>
    <x v="2038"/>
  </r>
  <r>
    <x v="4"/>
    <x v="141"/>
    <x v="183"/>
    <x v="2039"/>
  </r>
  <r>
    <x v="4"/>
    <x v="9"/>
    <x v="183"/>
    <x v="405"/>
  </r>
  <r>
    <x v="8"/>
    <x v="189"/>
    <x v="184"/>
    <x v="2040"/>
  </r>
  <r>
    <x v="9"/>
    <x v="229"/>
    <x v="184"/>
    <x v="2041"/>
  </r>
  <r>
    <x v="10"/>
    <x v="124"/>
    <x v="184"/>
    <x v="2042"/>
  </r>
  <r>
    <x v="10"/>
    <x v="102"/>
    <x v="184"/>
    <x v="2043"/>
  </r>
  <r>
    <x v="11"/>
    <x v="212"/>
    <x v="184"/>
    <x v="582"/>
  </r>
  <r>
    <x v="2"/>
    <x v="235"/>
    <x v="184"/>
    <x v="2044"/>
  </r>
  <r>
    <x v="3"/>
    <x v="73"/>
    <x v="184"/>
    <x v="2045"/>
  </r>
  <r>
    <x v="3"/>
    <x v="139"/>
    <x v="184"/>
    <x v="2046"/>
  </r>
  <r>
    <x v="4"/>
    <x v="76"/>
    <x v="184"/>
    <x v="2047"/>
  </r>
  <r>
    <x v="4"/>
    <x v="49"/>
    <x v="184"/>
    <x v="2048"/>
  </r>
  <r>
    <x v="4"/>
    <x v="10"/>
    <x v="184"/>
    <x v="2049"/>
  </r>
  <r>
    <x v="4"/>
    <x v="152"/>
    <x v="184"/>
    <x v="2050"/>
  </r>
  <r>
    <x v="12"/>
    <x v="44"/>
    <x v="185"/>
    <x v="2051"/>
  </r>
  <r>
    <x v="3"/>
    <x v="147"/>
    <x v="185"/>
    <x v="2052"/>
  </r>
  <r>
    <x v="3"/>
    <x v="31"/>
    <x v="185"/>
    <x v="2053"/>
  </r>
  <r>
    <x v="4"/>
    <x v="57"/>
    <x v="185"/>
    <x v="2054"/>
  </r>
  <r>
    <x v="4"/>
    <x v="82"/>
    <x v="185"/>
    <x v="1474"/>
  </r>
  <r>
    <x v="4"/>
    <x v="34"/>
    <x v="185"/>
    <x v="2055"/>
  </r>
  <r>
    <x v="4"/>
    <x v="34"/>
    <x v="185"/>
    <x v="2056"/>
  </r>
  <r>
    <x v="4"/>
    <x v="83"/>
    <x v="185"/>
    <x v="2057"/>
  </r>
  <r>
    <x v="4"/>
    <x v="51"/>
    <x v="185"/>
    <x v="2058"/>
  </r>
  <r>
    <x v="18"/>
    <x v="155"/>
    <x v="186"/>
    <x v="1072"/>
  </r>
  <r>
    <x v="5"/>
    <x v="60"/>
    <x v="186"/>
    <x v="2059"/>
  </r>
  <r>
    <x v="2"/>
    <x v="164"/>
    <x v="186"/>
    <x v="2060"/>
  </r>
  <r>
    <x v="3"/>
    <x v="56"/>
    <x v="186"/>
    <x v="2061"/>
  </r>
  <r>
    <x v="3"/>
    <x v="17"/>
    <x v="186"/>
    <x v="2062"/>
  </r>
  <r>
    <x v="4"/>
    <x v="201"/>
    <x v="186"/>
    <x v="2063"/>
  </r>
  <r>
    <x v="12"/>
    <x v="154"/>
    <x v="187"/>
    <x v="0"/>
  </r>
  <r>
    <x v="7"/>
    <x v="176"/>
    <x v="187"/>
    <x v="2064"/>
  </r>
  <r>
    <x v="3"/>
    <x v="165"/>
    <x v="187"/>
    <x v="2065"/>
  </r>
  <r>
    <x v="3"/>
    <x v="31"/>
    <x v="187"/>
    <x v="2066"/>
  </r>
  <r>
    <x v="3"/>
    <x v="22"/>
    <x v="187"/>
    <x v="2067"/>
  </r>
  <r>
    <x v="4"/>
    <x v="8"/>
    <x v="187"/>
    <x v="2068"/>
  </r>
  <r>
    <x v="4"/>
    <x v="82"/>
    <x v="187"/>
    <x v="2069"/>
  </r>
  <r>
    <x v="4"/>
    <x v="62"/>
    <x v="187"/>
    <x v="2070"/>
  </r>
  <r>
    <x v="4"/>
    <x v="84"/>
    <x v="187"/>
    <x v="2071"/>
  </r>
  <r>
    <x v="4"/>
    <x v="9"/>
    <x v="187"/>
    <x v="2072"/>
  </r>
  <r>
    <x v="4"/>
    <x v="120"/>
    <x v="187"/>
    <x v="2073"/>
  </r>
  <r>
    <x v="5"/>
    <x v="64"/>
    <x v="188"/>
    <x v="2074"/>
  </r>
  <r>
    <x v="5"/>
    <x v="136"/>
    <x v="188"/>
    <x v="2075"/>
  </r>
  <r>
    <x v="15"/>
    <x v="221"/>
    <x v="188"/>
    <x v="2076"/>
  </r>
  <r>
    <x v="10"/>
    <x v="61"/>
    <x v="188"/>
    <x v="0"/>
  </r>
  <r>
    <x v="7"/>
    <x v="213"/>
    <x v="188"/>
    <x v="2077"/>
  </r>
  <r>
    <x v="7"/>
    <x v="112"/>
    <x v="188"/>
    <x v="2078"/>
  </r>
  <r>
    <x v="14"/>
    <x v="172"/>
    <x v="188"/>
    <x v="0"/>
  </r>
  <r>
    <x v="2"/>
    <x v="207"/>
    <x v="188"/>
    <x v="2079"/>
  </r>
  <r>
    <x v="2"/>
    <x v="210"/>
    <x v="188"/>
    <x v="2080"/>
  </r>
  <r>
    <x v="2"/>
    <x v="72"/>
    <x v="188"/>
    <x v="2081"/>
  </r>
  <r>
    <x v="2"/>
    <x v="184"/>
    <x v="188"/>
    <x v="2082"/>
  </r>
  <r>
    <x v="3"/>
    <x v="74"/>
    <x v="188"/>
    <x v="2083"/>
  </r>
  <r>
    <x v="4"/>
    <x v="62"/>
    <x v="188"/>
    <x v="2084"/>
  </r>
  <r>
    <x v="4"/>
    <x v="84"/>
    <x v="188"/>
    <x v="2085"/>
  </r>
  <r>
    <x v="4"/>
    <x v="20"/>
    <x v="188"/>
    <x v="125"/>
  </r>
  <r>
    <x v="4"/>
    <x v="152"/>
    <x v="188"/>
    <x v="2086"/>
  </r>
  <r>
    <x v="7"/>
    <x v="54"/>
    <x v="189"/>
    <x v="2087"/>
  </r>
  <r>
    <x v="7"/>
    <x v="200"/>
    <x v="189"/>
    <x v="2088"/>
  </r>
  <r>
    <x v="2"/>
    <x v="209"/>
    <x v="189"/>
    <x v="2089"/>
  </r>
  <r>
    <x v="2"/>
    <x v="188"/>
    <x v="189"/>
    <x v="2090"/>
  </r>
  <r>
    <x v="2"/>
    <x v="3"/>
    <x v="189"/>
    <x v="2091"/>
  </r>
  <r>
    <x v="3"/>
    <x v="116"/>
    <x v="189"/>
    <x v="2092"/>
  </r>
  <r>
    <x v="4"/>
    <x v="7"/>
    <x v="189"/>
    <x v="2093"/>
  </r>
  <r>
    <x v="4"/>
    <x v="82"/>
    <x v="189"/>
    <x v="2094"/>
  </r>
  <r>
    <x v="4"/>
    <x v="94"/>
    <x v="189"/>
    <x v="1342"/>
  </r>
  <r>
    <x v="4"/>
    <x v="129"/>
    <x v="189"/>
    <x v="2095"/>
  </r>
  <r>
    <x v="4"/>
    <x v="59"/>
    <x v="189"/>
    <x v="2096"/>
  </r>
  <r>
    <x v="4"/>
    <x v="119"/>
    <x v="189"/>
    <x v="2097"/>
  </r>
  <r>
    <x v="5"/>
    <x v="95"/>
    <x v="190"/>
    <x v="2098"/>
  </r>
  <r>
    <x v="5"/>
    <x v="65"/>
    <x v="190"/>
    <x v="2099"/>
  </r>
  <r>
    <x v="6"/>
    <x v="90"/>
    <x v="190"/>
    <x v="2100"/>
  </r>
  <r>
    <x v="11"/>
    <x v="29"/>
    <x v="190"/>
    <x v="2101"/>
  </r>
  <r>
    <x v="7"/>
    <x v="123"/>
    <x v="190"/>
    <x v="2102"/>
  </r>
  <r>
    <x v="7"/>
    <x v="101"/>
    <x v="190"/>
    <x v="2103"/>
  </r>
  <r>
    <x v="4"/>
    <x v="109"/>
    <x v="190"/>
    <x v="2104"/>
  </r>
  <r>
    <x v="4"/>
    <x v="119"/>
    <x v="190"/>
    <x v="1853"/>
  </r>
  <r>
    <x v="4"/>
    <x v="10"/>
    <x v="190"/>
    <x v="2105"/>
  </r>
  <r>
    <x v="4"/>
    <x v="20"/>
    <x v="190"/>
    <x v="2106"/>
  </r>
  <r>
    <x v="5"/>
    <x v="87"/>
    <x v="191"/>
    <x v="2107"/>
  </r>
  <r>
    <x v="2"/>
    <x v="162"/>
    <x v="191"/>
    <x v="2108"/>
  </r>
  <r>
    <x v="3"/>
    <x v="226"/>
    <x v="191"/>
    <x v="2109"/>
  </r>
  <r>
    <x v="4"/>
    <x v="215"/>
    <x v="191"/>
    <x v="2110"/>
  </r>
  <r>
    <x v="4"/>
    <x v="83"/>
    <x v="191"/>
    <x v="2111"/>
  </r>
  <r>
    <x v="4"/>
    <x v="118"/>
    <x v="191"/>
    <x v="2112"/>
  </r>
  <r>
    <x v="4"/>
    <x v="110"/>
    <x v="191"/>
    <x v="2113"/>
  </r>
  <r>
    <x v="12"/>
    <x v="26"/>
    <x v="192"/>
    <x v="2114"/>
  </r>
  <r>
    <x v="12"/>
    <x v="190"/>
    <x v="192"/>
    <x v="2115"/>
  </r>
  <r>
    <x v="5"/>
    <x v="83"/>
    <x v="192"/>
    <x v="2116"/>
  </r>
  <r>
    <x v="5"/>
    <x v="220"/>
    <x v="192"/>
    <x v="2117"/>
  </r>
  <r>
    <x v="3"/>
    <x v="211"/>
    <x v="192"/>
    <x v="2118"/>
  </r>
  <r>
    <x v="3"/>
    <x v="43"/>
    <x v="192"/>
    <x v="2119"/>
  </r>
  <r>
    <x v="3"/>
    <x v="108"/>
    <x v="192"/>
    <x v="2120"/>
  </r>
  <r>
    <x v="3"/>
    <x v="148"/>
    <x v="192"/>
    <x v="2121"/>
  </r>
  <r>
    <x v="4"/>
    <x v="36"/>
    <x v="192"/>
    <x v="2122"/>
  </r>
  <r>
    <x v="4"/>
    <x v="10"/>
    <x v="192"/>
    <x v="2123"/>
  </r>
  <r>
    <x v="4"/>
    <x v="10"/>
    <x v="192"/>
    <x v="2124"/>
  </r>
  <r>
    <x v="4"/>
    <x v="152"/>
    <x v="192"/>
    <x v="2125"/>
  </r>
  <r>
    <x v="12"/>
    <x v="142"/>
    <x v="193"/>
    <x v="2126"/>
  </r>
  <r>
    <x v="9"/>
    <x v="23"/>
    <x v="193"/>
    <x v="2127"/>
  </r>
  <r>
    <x v="15"/>
    <x v="158"/>
    <x v="193"/>
    <x v="2128"/>
  </r>
  <r>
    <x v="7"/>
    <x v="205"/>
    <x v="193"/>
    <x v="2129"/>
  </r>
  <r>
    <x v="7"/>
    <x v="114"/>
    <x v="193"/>
    <x v="2130"/>
  </r>
  <r>
    <x v="2"/>
    <x v="69"/>
    <x v="193"/>
    <x v="2131"/>
  </r>
  <r>
    <x v="3"/>
    <x v="56"/>
    <x v="193"/>
    <x v="2132"/>
  </r>
  <r>
    <x v="3"/>
    <x v="211"/>
    <x v="193"/>
    <x v="2133"/>
  </r>
  <r>
    <x v="3"/>
    <x v="236"/>
    <x v="193"/>
    <x v="2134"/>
  </r>
  <r>
    <x v="3"/>
    <x v="6"/>
    <x v="193"/>
    <x v="2135"/>
  </r>
  <r>
    <x v="4"/>
    <x v="57"/>
    <x v="193"/>
    <x v="2136"/>
  </r>
  <r>
    <x v="4"/>
    <x v="7"/>
    <x v="193"/>
    <x v="2137"/>
  </r>
  <r>
    <x v="4"/>
    <x v="227"/>
    <x v="193"/>
    <x v="2138"/>
  </r>
  <r>
    <x v="4"/>
    <x v="118"/>
    <x v="193"/>
    <x v="2139"/>
  </r>
  <r>
    <x v="4"/>
    <x v="58"/>
    <x v="193"/>
    <x v="2140"/>
  </r>
  <r>
    <x v="4"/>
    <x v="141"/>
    <x v="193"/>
    <x v="2141"/>
  </r>
  <r>
    <x v="4"/>
    <x v="59"/>
    <x v="193"/>
    <x v="2142"/>
  </r>
  <r>
    <x v="4"/>
    <x v="111"/>
    <x v="193"/>
    <x v="2143"/>
  </r>
  <r>
    <x v="0"/>
    <x v="185"/>
    <x v="194"/>
    <x v="2144"/>
  </r>
  <r>
    <x v="15"/>
    <x v="198"/>
    <x v="194"/>
    <x v="1856"/>
  </r>
  <r>
    <x v="15"/>
    <x v="89"/>
    <x v="194"/>
    <x v="0"/>
  </r>
  <r>
    <x v="1"/>
    <x v="99"/>
    <x v="194"/>
    <x v="2145"/>
  </r>
  <r>
    <x v="11"/>
    <x v="231"/>
    <x v="194"/>
    <x v="2146"/>
  </r>
  <r>
    <x v="16"/>
    <x v="103"/>
    <x v="194"/>
    <x v="2147"/>
  </r>
  <r>
    <x v="2"/>
    <x v="91"/>
    <x v="194"/>
    <x v="2148"/>
  </r>
  <r>
    <x v="3"/>
    <x v="147"/>
    <x v="194"/>
    <x v="2149"/>
  </r>
  <r>
    <x v="4"/>
    <x v="75"/>
    <x v="194"/>
    <x v="2150"/>
  </r>
  <r>
    <x v="4"/>
    <x v="76"/>
    <x v="194"/>
    <x v="2151"/>
  </r>
  <r>
    <x v="4"/>
    <x v="111"/>
    <x v="194"/>
    <x v="2152"/>
  </r>
  <r>
    <x v="4"/>
    <x v="120"/>
    <x v="194"/>
    <x v="2153"/>
  </r>
  <r>
    <x v="5"/>
    <x v="86"/>
    <x v="195"/>
    <x v="2154"/>
  </r>
  <r>
    <x v="5"/>
    <x v="12"/>
    <x v="195"/>
    <x v="2155"/>
  </r>
  <r>
    <x v="9"/>
    <x v="144"/>
    <x v="195"/>
    <x v="2156"/>
  </r>
  <r>
    <x v="6"/>
    <x v="203"/>
    <x v="195"/>
    <x v="2157"/>
  </r>
  <r>
    <x v="14"/>
    <x v="138"/>
    <x v="195"/>
    <x v="2158"/>
  </r>
  <r>
    <x v="14"/>
    <x v="55"/>
    <x v="195"/>
    <x v="0"/>
  </r>
  <r>
    <x v="2"/>
    <x v="105"/>
    <x v="195"/>
    <x v="2159"/>
  </r>
  <r>
    <x v="3"/>
    <x v="93"/>
    <x v="195"/>
    <x v="2160"/>
  </r>
  <r>
    <x v="3"/>
    <x v="16"/>
    <x v="195"/>
    <x v="2161"/>
  </r>
  <r>
    <x v="3"/>
    <x v="166"/>
    <x v="195"/>
    <x v="2162"/>
  </r>
  <r>
    <x v="4"/>
    <x v="34"/>
    <x v="195"/>
    <x v="2163"/>
  </r>
  <r>
    <x v="4"/>
    <x v="215"/>
    <x v="195"/>
    <x v="2164"/>
  </r>
  <r>
    <x v="4"/>
    <x v="83"/>
    <x v="195"/>
    <x v="2165"/>
  </r>
  <r>
    <x v="4"/>
    <x v="77"/>
    <x v="195"/>
    <x v="2166"/>
  </r>
  <r>
    <x v="12"/>
    <x v="181"/>
    <x v="196"/>
    <x v="2167"/>
  </r>
  <r>
    <x v="5"/>
    <x v="156"/>
    <x v="196"/>
    <x v="2168"/>
  </r>
  <r>
    <x v="5"/>
    <x v="128"/>
    <x v="196"/>
    <x v="2169"/>
  </r>
  <r>
    <x v="5"/>
    <x v="66"/>
    <x v="196"/>
    <x v="2170"/>
  </r>
  <r>
    <x v="0"/>
    <x v="194"/>
    <x v="196"/>
    <x v="2171"/>
  </r>
  <r>
    <x v="15"/>
    <x v="85"/>
    <x v="196"/>
    <x v="2172"/>
  </r>
  <r>
    <x v="7"/>
    <x v="45"/>
    <x v="196"/>
    <x v="2173"/>
  </r>
  <r>
    <x v="7"/>
    <x v="192"/>
    <x v="196"/>
    <x v="2174"/>
  </r>
  <r>
    <x v="14"/>
    <x v="206"/>
    <x v="196"/>
    <x v="2175"/>
  </r>
  <r>
    <x v="2"/>
    <x v="214"/>
    <x v="196"/>
    <x v="2176"/>
  </r>
  <r>
    <x v="4"/>
    <x v="153"/>
    <x v="196"/>
    <x v="2177"/>
  </r>
  <r>
    <x v="4"/>
    <x v="117"/>
    <x v="196"/>
    <x v="2178"/>
  </r>
  <r>
    <x v="4"/>
    <x v="140"/>
    <x v="196"/>
    <x v="2179"/>
  </r>
  <r>
    <x v="4"/>
    <x v="11"/>
    <x v="196"/>
    <x v="2180"/>
  </r>
  <r>
    <x v="5"/>
    <x v="130"/>
    <x v="197"/>
    <x v="2181"/>
  </r>
  <r>
    <x v="19"/>
    <x v="230"/>
    <x v="197"/>
    <x v="2182"/>
  </r>
  <r>
    <x v="6"/>
    <x v="14"/>
    <x v="197"/>
    <x v="2183"/>
  </r>
  <r>
    <x v="6"/>
    <x v="159"/>
    <x v="197"/>
    <x v="2184"/>
  </r>
  <r>
    <x v="7"/>
    <x v="223"/>
    <x v="197"/>
    <x v="2185"/>
  </r>
  <r>
    <x v="7"/>
    <x v="199"/>
    <x v="197"/>
    <x v="249"/>
  </r>
  <r>
    <x v="2"/>
    <x v="115"/>
    <x v="197"/>
    <x v="2186"/>
  </r>
  <r>
    <x v="3"/>
    <x v="92"/>
    <x v="197"/>
    <x v="2187"/>
  </r>
  <r>
    <x v="3"/>
    <x v="128"/>
    <x v="197"/>
    <x v="2188"/>
  </r>
  <r>
    <x v="4"/>
    <x v="50"/>
    <x v="197"/>
    <x v="2189"/>
  </r>
  <r>
    <x v="4"/>
    <x v="50"/>
    <x v="197"/>
    <x v="2190"/>
  </r>
  <r>
    <x v="4"/>
    <x v="11"/>
    <x v="197"/>
    <x v="2191"/>
  </r>
  <r>
    <x v="5"/>
    <x v="149"/>
    <x v="198"/>
    <x v="2192"/>
  </r>
  <r>
    <x v="5"/>
    <x v="140"/>
    <x v="198"/>
    <x v="2193"/>
  </r>
  <r>
    <x v="6"/>
    <x v="151"/>
    <x v="198"/>
    <x v="0"/>
  </r>
  <r>
    <x v="6"/>
    <x v="160"/>
    <x v="198"/>
    <x v="2194"/>
  </r>
  <r>
    <x v="10"/>
    <x v="100"/>
    <x v="198"/>
    <x v="2195"/>
  </r>
  <r>
    <x v="11"/>
    <x v="30"/>
    <x v="198"/>
    <x v="2196"/>
  </r>
  <r>
    <x v="7"/>
    <x v="217"/>
    <x v="198"/>
    <x v="2197"/>
  </r>
  <r>
    <x v="7"/>
    <x v="126"/>
    <x v="198"/>
    <x v="2195"/>
  </r>
  <r>
    <x v="7"/>
    <x v="161"/>
    <x v="198"/>
    <x v="2198"/>
  </r>
  <r>
    <x v="2"/>
    <x v="235"/>
    <x v="198"/>
    <x v="2199"/>
  </r>
  <r>
    <x v="3"/>
    <x v="139"/>
    <x v="198"/>
    <x v="2200"/>
  </r>
  <r>
    <x v="4"/>
    <x v="18"/>
    <x v="198"/>
    <x v="553"/>
  </r>
  <r>
    <x v="4"/>
    <x v="219"/>
    <x v="198"/>
    <x v="2201"/>
  </r>
  <r>
    <x v="4"/>
    <x v="215"/>
    <x v="198"/>
    <x v="2202"/>
  </r>
  <r>
    <x v="4"/>
    <x v="173"/>
    <x v="198"/>
    <x v="2203"/>
  </r>
  <r>
    <x v="4"/>
    <x v="58"/>
    <x v="198"/>
    <x v="2204"/>
  </r>
  <r>
    <x v="4"/>
    <x v="50"/>
    <x v="198"/>
    <x v="2205"/>
  </r>
  <r>
    <x v="4"/>
    <x v="50"/>
    <x v="198"/>
    <x v="2206"/>
  </r>
  <r>
    <x v="4"/>
    <x v="63"/>
    <x v="198"/>
    <x v="2207"/>
  </r>
  <r>
    <x v="4"/>
    <x v="152"/>
    <x v="198"/>
    <x v="2208"/>
  </r>
  <r>
    <x v="5"/>
    <x v="228"/>
    <x v="199"/>
    <x v="2209"/>
  </r>
  <r>
    <x v="7"/>
    <x v="46"/>
    <x v="199"/>
    <x v="0"/>
  </r>
  <r>
    <x v="14"/>
    <x v="224"/>
    <x v="199"/>
    <x v="2210"/>
  </r>
  <r>
    <x v="2"/>
    <x v="225"/>
    <x v="199"/>
    <x v="2211"/>
  </r>
  <r>
    <x v="2"/>
    <x v="208"/>
    <x v="199"/>
    <x v="2212"/>
  </r>
  <r>
    <x v="3"/>
    <x v="234"/>
    <x v="199"/>
    <x v="2213"/>
  </r>
  <r>
    <x v="3"/>
    <x v="133"/>
    <x v="199"/>
    <x v="2214"/>
  </r>
  <r>
    <x v="3"/>
    <x v="109"/>
    <x v="199"/>
    <x v="2215"/>
  </r>
  <r>
    <x v="4"/>
    <x v="57"/>
    <x v="199"/>
    <x v="2216"/>
  </r>
  <r>
    <x v="4"/>
    <x v="215"/>
    <x v="199"/>
    <x v="2013"/>
  </r>
  <r>
    <x v="4"/>
    <x v="83"/>
    <x v="199"/>
    <x v="2217"/>
  </r>
  <r>
    <x v="4"/>
    <x v="77"/>
    <x v="199"/>
    <x v="2218"/>
  </r>
  <r>
    <x v="4"/>
    <x v="121"/>
    <x v="199"/>
    <x v="2219"/>
  </r>
  <r>
    <x v="3"/>
    <x v="202"/>
    <x v="200"/>
    <x v="2220"/>
  </r>
  <r>
    <x v="3"/>
    <x v="47"/>
    <x v="200"/>
    <x v="2221"/>
  </r>
  <r>
    <x v="4"/>
    <x v="201"/>
    <x v="200"/>
    <x v="2222"/>
  </r>
  <r>
    <x v="5"/>
    <x v="182"/>
    <x v="201"/>
    <x v="2223"/>
  </r>
  <r>
    <x v="5"/>
    <x v="20"/>
    <x v="201"/>
    <x v="2224"/>
  </r>
  <r>
    <x v="0"/>
    <x v="216"/>
    <x v="201"/>
    <x v="2225"/>
  </r>
  <r>
    <x v="6"/>
    <x v="98"/>
    <x v="201"/>
    <x v="2226"/>
  </r>
  <r>
    <x v="14"/>
    <x v="197"/>
    <x v="201"/>
    <x v="2227"/>
  </r>
  <r>
    <x v="3"/>
    <x v="73"/>
    <x v="201"/>
    <x v="2228"/>
  </r>
  <r>
    <x v="3"/>
    <x v="121"/>
    <x v="201"/>
    <x v="2229"/>
  </r>
  <r>
    <x v="4"/>
    <x v="227"/>
    <x v="201"/>
    <x v="2230"/>
  </r>
  <r>
    <x v="4"/>
    <x v="19"/>
    <x v="201"/>
    <x v="2231"/>
  </r>
  <r>
    <x v="4"/>
    <x v="110"/>
    <x v="201"/>
    <x v="1523"/>
  </r>
  <r>
    <x v="4"/>
    <x v="51"/>
    <x v="201"/>
    <x v="2232"/>
  </r>
  <r>
    <x v="5"/>
    <x v="233"/>
    <x v="202"/>
    <x v="2233"/>
  </r>
  <r>
    <x v="0"/>
    <x v="67"/>
    <x v="202"/>
    <x v="2234"/>
  </r>
  <r>
    <x v="6"/>
    <x v="195"/>
    <x v="202"/>
    <x v="2235"/>
  </r>
  <r>
    <x v="14"/>
    <x v="137"/>
    <x v="202"/>
    <x v="2236"/>
  </r>
  <r>
    <x v="3"/>
    <x v="133"/>
    <x v="202"/>
    <x v="1156"/>
  </r>
  <r>
    <x v="3"/>
    <x v="74"/>
    <x v="202"/>
    <x v="2237"/>
  </r>
  <r>
    <x v="4"/>
    <x v="75"/>
    <x v="202"/>
    <x v="2238"/>
  </r>
  <r>
    <x v="4"/>
    <x v="57"/>
    <x v="202"/>
    <x v="2239"/>
  </r>
  <r>
    <x v="0"/>
    <x v="88"/>
    <x v="203"/>
    <x v="2240"/>
  </r>
  <r>
    <x v="7"/>
    <x v="171"/>
    <x v="203"/>
    <x v="2241"/>
  </r>
  <r>
    <x v="7"/>
    <x v="15"/>
    <x v="203"/>
    <x v="2242"/>
  </r>
  <r>
    <x v="3"/>
    <x v="33"/>
    <x v="203"/>
    <x v="2243"/>
  </r>
  <r>
    <x v="3"/>
    <x v="108"/>
    <x v="203"/>
    <x v="2244"/>
  </r>
  <r>
    <x v="4"/>
    <x v="48"/>
    <x v="203"/>
    <x v="2245"/>
  </r>
  <r>
    <x v="4"/>
    <x v="35"/>
    <x v="203"/>
    <x v="2246"/>
  </r>
  <r>
    <x v="4"/>
    <x v="62"/>
    <x v="203"/>
    <x v="2247"/>
  </r>
  <r>
    <x v="4"/>
    <x v="77"/>
    <x v="203"/>
    <x v="2248"/>
  </r>
  <r>
    <x v="4"/>
    <x v="63"/>
    <x v="203"/>
    <x v="2249"/>
  </r>
  <r>
    <x v="4"/>
    <x v="20"/>
    <x v="203"/>
    <x v="2250"/>
  </r>
  <r>
    <x v="9"/>
    <x v="97"/>
    <x v="204"/>
    <x v="2251"/>
  </r>
  <r>
    <x v="3"/>
    <x v="93"/>
    <x v="204"/>
    <x v="2252"/>
  </r>
  <r>
    <x v="3"/>
    <x v="16"/>
    <x v="204"/>
    <x v="2253"/>
  </r>
  <r>
    <x v="4"/>
    <x v="34"/>
    <x v="204"/>
    <x v="2254"/>
  </r>
  <r>
    <x v="4"/>
    <x v="19"/>
    <x v="204"/>
    <x v="2255"/>
  </r>
  <r>
    <x v="4"/>
    <x v="36"/>
    <x v="204"/>
    <x v="2256"/>
  </r>
  <r>
    <x v="4"/>
    <x v="9"/>
    <x v="204"/>
    <x v="2257"/>
  </r>
  <r>
    <x v="10"/>
    <x v="175"/>
    <x v="205"/>
    <x v="2258"/>
  </r>
  <r>
    <x v="13"/>
    <x v="40"/>
    <x v="205"/>
    <x v="2259"/>
  </r>
  <r>
    <x v="2"/>
    <x v="41"/>
    <x v="205"/>
    <x v="2260"/>
  </r>
  <r>
    <x v="2"/>
    <x v="41"/>
    <x v="205"/>
    <x v="2261"/>
  </r>
  <r>
    <x v="2"/>
    <x v="163"/>
    <x v="205"/>
    <x v="2262"/>
  </r>
  <r>
    <x v="17"/>
    <x v="106"/>
    <x v="205"/>
    <x v="2263"/>
  </r>
  <r>
    <x v="4"/>
    <x v="35"/>
    <x v="205"/>
    <x v="2264"/>
  </r>
  <r>
    <x v="4"/>
    <x v="58"/>
    <x v="205"/>
    <x v="2265"/>
  </r>
  <r>
    <x v="4"/>
    <x v="110"/>
    <x v="205"/>
    <x v="2266"/>
  </r>
  <r>
    <x v="4"/>
    <x v="121"/>
    <x v="205"/>
    <x v="2267"/>
  </r>
  <r>
    <x v="12"/>
    <x v="37"/>
    <x v="206"/>
    <x v="2268"/>
  </r>
  <r>
    <x v="0"/>
    <x v="143"/>
    <x v="206"/>
    <x v="2269"/>
  </r>
  <r>
    <x v="0"/>
    <x v="0"/>
    <x v="206"/>
    <x v="2270"/>
  </r>
  <r>
    <x v="0"/>
    <x v="113"/>
    <x v="206"/>
    <x v="2271"/>
  </r>
  <r>
    <x v="15"/>
    <x v="68"/>
    <x v="206"/>
    <x v="96"/>
  </r>
  <r>
    <x v="1"/>
    <x v="1"/>
    <x v="206"/>
    <x v="2272"/>
  </r>
  <r>
    <x v="10"/>
    <x v="28"/>
    <x v="206"/>
    <x v="1044"/>
  </r>
  <r>
    <x v="10"/>
    <x v="170"/>
    <x v="206"/>
    <x v="0"/>
  </r>
  <r>
    <x v="10"/>
    <x v="196"/>
    <x v="206"/>
    <x v="2273"/>
  </r>
  <r>
    <x v="16"/>
    <x v="81"/>
    <x v="206"/>
    <x v="2274"/>
  </r>
  <r>
    <x v="3"/>
    <x v="116"/>
    <x v="206"/>
    <x v="2275"/>
  </r>
  <r>
    <x v="3"/>
    <x v="118"/>
    <x v="206"/>
    <x v="2276"/>
  </r>
  <r>
    <x v="3"/>
    <x v="5"/>
    <x v="206"/>
    <x v="2277"/>
  </r>
  <r>
    <x v="3"/>
    <x v="133"/>
    <x v="206"/>
    <x v="960"/>
  </r>
  <r>
    <x v="4"/>
    <x v="7"/>
    <x v="206"/>
    <x v="2278"/>
  </r>
  <r>
    <x v="4"/>
    <x v="82"/>
    <x v="206"/>
    <x v="2279"/>
  </r>
  <r>
    <x v="4"/>
    <x v="178"/>
    <x v="206"/>
    <x v="2280"/>
  </r>
  <r>
    <x v="8"/>
    <x v="21"/>
    <x v="207"/>
    <x v="2281"/>
  </r>
  <r>
    <x v="5"/>
    <x v="177"/>
    <x v="207"/>
    <x v="2282"/>
  </r>
  <r>
    <x v="5"/>
    <x v="135"/>
    <x v="207"/>
    <x v="2283"/>
  </r>
  <r>
    <x v="0"/>
    <x v="38"/>
    <x v="207"/>
    <x v="2284"/>
  </r>
  <r>
    <x v="7"/>
    <x v="186"/>
    <x v="207"/>
    <x v="2285"/>
  </r>
  <r>
    <x v="13"/>
    <x v="39"/>
    <x v="207"/>
    <x v="2286"/>
  </r>
  <r>
    <x v="2"/>
    <x v="2"/>
    <x v="207"/>
    <x v="1886"/>
  </r>
  <r>
    <x v="2"/>
    <x v="71"/>
    <x v="207"/>
    <x v="2287"/>
  </r>
  <r>
    <x v="3"/>
    <x v="119"/>
    <x v="207"/>
    <x v="2288"/>
  </r>
  <r>
    <x v="4"/>
    <x v="167"/>
    <x v="207"/>
    <x v="2289"/>
  </r>
  <r>
    <x v="4"/>
    <x v="76"/>
    <x v="207"/>
    <x v="2290"/>
  </r>
  <r>
    <x v="4"/>
    <x v="94"/>
    <x v="207"/>
    <x v="2291"/>
  </r>
  <r>
    <x v="4"/>
    <x v="215"/>
    <x v="207"/>
    <x v="2292"/>
  </r>
  <r>
    <x v="4"/>
    <x v="173"/>
    <x v="207"/>
    <x v="2293"/>
  </r>
  <r>
    <x v="4"/>
    <x v="58"/>
    <x v="207"/>
    <x v="2294"/>
  </r>
  <r>
    <x v="4"/>
    <x v="120"/>
    <x v="207"/>
    <x v="2295"/>
  </r>
  <r>
    <x v="12"/>
    <x v="127"/>
    <x v="208"/>
    <x v="2296"/>
  </r>
  <r>
    <x v="5"/>
    <x v="13"/>
    <x v="208"/>
    <x v="2297"/>
  </r>
  <r>
    <x v="5"/>
    <x v="96"/>
    <x v="208"/>
    <x v="2298"/>
  </r>
  <r>
    <x v="15"/>
    <x v="180"/>
    <x v="208"/>
    <x v="2299"/>
  </r>
  <r>
    <x v="6"/>
    <x v="25"/>
    <x v="208"/>
    <x v="2300"/>
  </r>
  <r>
    <x v="1"/>
    <x v="79"/>
    <x v="208"/>
    <x v="2301"/>
  </r>
  <r>
    <x v="10"/>
    <x v="80"/>
    <x v="208"/>
    <x v="2302"/>
  </r>
  <r>
    <x v="3"/>
    <x v="4"/>
    <x v="208"/>
    <x v="2303"/>
  </r>
  <r>
    <x v="4"/>
    <x v="36"/>
    <x v="208"/>
    <x v="2304"/>
  </r>
  <r>
    <x v="4"/>
    <x v="51"/>
    <x v="208"/>
    <x v="2305"/>
  </r>
  <r>
    <x v="5"/>
    <x v="52"/>
    <x v="209"/>
    <x v="2306"/>
  </r>
  <r>
    <x v="0"/>
    <x v="183"/>
    <x v="209"/>
    <x v="2307"/>
  </r>
  <r>
    <x v="6"/>
    <x v="169"/>
    <x v="209"/>
    <x v="2308"/>
  </r>
  <r>
    <x v="2"/>
    <x v="146"/>
    <x v="209"/>
    <x v="2309"/>
  </r>
  <r>
    <x v="2"/>
    <x v="42"/>
    <x v="209"/>
    <x v="2310"/>
  </r>
  <r>
    <x v="3"/>
    <x v="32"/>
    <x v="209"/>
    <x v="2311"/>
  </r>
  <r>
    <x v="4"/>
    <x v="167"/>
    <x v="209"/>
    <x v="2312"/>
  </r>
  <r>
    <x v="4"/>
    <x v="48"/>
    <x v="209"/>
    <x v="2313"/>
  </r>
  <r>
    <x v="4"/>
    <x v="94"/>
    <x v="209"/>
    <x v="2314"/>
  </r>
  <r>
    <x v="4"/>
    <x v="140"/>
    <x v="209"/>
    <x v="2315"/>
  </r>
  <r>
    <x v="4"/>
    <x v="121"/>
    <x v="209"/>
    <x v="2316"/>
  </r>
  <r>
    <x v="5"/>
    <x v="107"/>
    <x v="210"/>
    <x v="2317"/>
  </r>
  <r>
    <x v="5"/>
    <x v="157"/>
    <x v="210"/>
    <x v="2318"/>
  </r>
  <r>
    <x v="15"/>
    <x v="222"/>
    <x v="210"/>
    <x v="2319"/>
  </r>
  <r>
    <x v="6"/>
    <x v="232"/>
    <x v="210"/>
    <x v="2320"/>
  </r>
  <r>
    <x v="6"/>
    <x v="131"/>
    <x v="210"/>
    <x v="2321"/>
  </r>
  <r>
    <x v="10"/>
    <x v="125"/>
    <x v="210"/>
    <x v="2322"/>
  </r>
  <r>
    <x v="7"/>
    <x v="150"/>
    <x v="210"/>
    <x v="2323"/>
  </r>
  <r>
    <x v="3"/>
    <x v="47"/>
    <x v="210"/>
    <x v="2324"/>
  </r>
  <r>
    <x v="3"/>
    <x v="32"/>
    <x v="210"/>
    <x v="2325"/>
  </r>
  <r>
    <x v="3"/>
    <x v="109"/>
    <x v="210"/>
    <x v="2326"/>
  </r>
  <r>
    <x v="3"/>
    <x v="134"/>
    <x v="210"/>
    <x v="2327"/>
  </r>
  <r>
    <x v="3"/>
    <x v="17"/>
    <x v="210"/>
    <x v="2328"/>
  </r>
  <r>
    <x v="4"/>
    <x v="140"/>
    <x v="210"/>
    <x v="2329"/>
  </r>
  <r>
    <x v="4"/>
    <x v="11"/>
    <x v="210"/>
    <x v="2330"/>
  </r>
  <r>
    <x v="4"/>
    <x v="12"/>
    <x v="210"/>
    <x v="333"/>
  </r>
  <r>
    <x v="5"/>
    <x v="174"/>
    <x v="211"/>
    <x v="2331"/>
  </r>
  <r>
    <x v="9"/>
    <x v="24"/>
    <x v="211"/>
    <x v="2332"/>
  </r>
  <r>
    <x v="1"/>
    <x v="204"/>
    <x v="211"/>
    <x v="2333"/>
  </r>
  <r>
    <x v="14"/>
    <x v="218"/>
    <x v="211"/>
    <x v="2334"/>
  </r>
  <r>
    <x v="2"/>
    <x v="70"/>
    <x v="211"/>
    <x v="2335"/>
  </r>
  <r>
    <x v="2"/>
    <x v="145"/>
    <x v="211"/>
    <x v="2336"/>
  </r>
  <r>
    <x v="4"/>
    <x v="22"/>
    <x v="211"/>
    <x v="2337"/>
  </r>
  <r>
    <x v="19"/>
    <x v="230"/>
    <x v="212"/>
    <x v="2338"/>
  </r>
  <r>
    <x v="6"/>
    <x v="90"/>
    <x v="212"/>
    <x v="2339"/>
  </r>
  <r>
    <x v="16"/>
    <x v="81"/>
    <x v="212"/>
    <x v="2340"/>
  </r>
  <r>
    <x v="17"/>
    <x v="106"/>
    <x v="212"/>
    <x v="2341"/>
  </r>
  <r>
    <x v="4"/>
    <x v="57"/>
    <x v="212"/>
    <x v="2342"/>
  </r>
  <r>
    <x v="4"/>
    <x v="48"/>
    <x v="212"/>
    <x v="2343"/>
  </r>
  <r>
    <x v="4"/>
    <x v="153"/>
    <x v="212"/>
    <x v="2344"/>
  </r>
  <r>
    <x v="4"/>
    <x v="34"/>
    <x v="212"/>
    <x v="2345"/>
  </r>
  <r>
    <x v="4"/>
    <x v="11"/>
    <x v="212"/>
    <x v="994"/>
  </r>
  <r>
    <x v="12"/>
    <x v="172"/>
    <x v="213"/>
    <x v="2346"/>
  </r>
  <r>
    <x v="5"/>
    <x v="208"/>
    <x v="213"/>
    <x v="2347"/>
  </r>
  <r>
    <x v="9"/>
    <x v="229"/>
    <x v="213"/>
    <x v="2348"/>
  </r>
  <r>
    <x v="6"/>
    <x v="203"/>
    <x v="213"/>
    <x v="2349"/>
  </r>
  <r>
    <x v="1"/>
    <x v="137"/>
    <x v="213"/>
    <x v="2350"/>
  </r>
  <r>
    <x v="10"/>
    <x v="195"/>
    <x v="213"/>
    <x v="2351"/>
  </r>
  <r>
    <x v="11"/>
    <x v="29"/>
    <x v="213"/>
    <x v="2352"/>
  </r>
  <r>
    <x v="3"/>
    <x v="219"/>
    <x v="213"/>
    <x v="2353"/>
  </r>
  <r>
    <x v="3"/>
    <x v="210"/>
    <x v="213"/>
    <x v="2354"/>
  </r>
  <r>
    <x v="3"/>
    <x v="6"/>
    <x v="213"/>
    <x v="2355"/>
  </r>
  <r>
    <x v="4"/>
    <x v="36"/>
    <x v="213"/>
    <x v="2356"/>
  </r>
  <r>
    <x v="4"/>
    <x v="120"/>
    <x v="213"/>
    <x v="2357"/>
  </r>
  <r>
    <x v="4"/>
    <x v="152"/>
    <x v="213"/>
    <x v="2358"/>
  </r>
  <r>
    <x v="5"/>
    <x v="174"/>
    <x v="214"/>
    <x v="2359"/>
  </r>
  <r>
    <x v="5"/>
    <x v="168"/>
    <x v="214"/>
    <x v="2360"/>
  </r>
  <r>
    <x v="15"/>
    <x v="221"/>
    <x v="214"/>
    <x v="2361"/>
  </r>
  <r>
    <x v="6"/>
    <x v="151"/>
    <x v="214"/>
    <x v="2362"/>
  </r>
  <r>
    <x v="6"/>
    <x v="159"/>
    <x v="214"/>
    <x v="2363"/>
  </r>
  <r>
    <x v="14"/>
    <x v="138"/>
    <x v="214"/>
    <x v="2364"/>
  </r>
  <r>
    <x v="2"/>
    <x v="71"/>
    <x v="214"/>
    <x v="2042"/>
  </r>
  <r>
    <x v="3"/>
    <x v="139"/>
    <x v="214"/>
    <x v="2365"/>
  </r>
  <r>
    <x v="4"/>
    <x v="8"/>
    <x v="214"/>
    <x v="2366"/>
  </r>
  <r>
    <x v="4"/>
    <x v="34"/>
    <x v="214"/>
    <x v="2367"/>
  </r>
  <r>
    <x v="4"/>
    <x v="94"/>
    <x v="214"/>
    <x v="2368"/>
  </r>
  <r>
    <x v="4"/>
    <x v="117"/>
    <x v="214"/>
    <x v="2369"/>
  </r>
  <r>
    <x v="4"/>
    <x v="19"/>
    <x v="214"/>
    <x v="2370"/>
  </r>
  <r>
    <x v="4"/>
    <x v="77"/>
    <x v="214"/>
    <x v="2371"/>
  </r>
  <r>
    <x v="4"/>
    <x v="51"/>
    <x v="214"/>
    <x v="2372"/>
  </r>
  <r>
    <x v="4"/>
    <x v="11"/>
    <x v="214"/>
    <x v="2373"/>
  </r>
  <r>
    <x v="12"/>
    <x v="37"/>
    <x v="215"/>
    <x v="0"/>
  </r>
  <r>
    <x v="5"/>
    <x v="64"/>
    <x v="215"/>
    <x v="2374"/>
  </r>
  <r>
    <x v="0"/>
    <x v="132"/>
    <x v="215"/>
    <x v="2375"/>
  </r>
  <r>
    <x v="1"/>
    <x v="222"/>
    <x v="215"/>
    <x v="2376"/>
  </r>
  <r>
    <x v="2"/>
    <x v="115"/>
    <x v="215"/>
    <x v="2377"/>
  </r>
  <r>
    <x v="2"/>
    <x v="3"/>
    <x v="215"/>
    <x v="2378"/>
  </r>
  <r>
    <x v="4"/>
    <x v="82"/>
    <x v="215"/>
    <x v="2379"/>
  </r>
  <r>
    <x v="4"/>
    <x v="20"/>
    <x v="215"/>
    <x v="2380"/>
  </r>
  <r>
    <x v="12"/>
    <x v="181"/>
    <x v="216"/>
    <x v="2381"/>
  </r>
  <r>
    <x v="2"/>
    <x v="128"/>
    <x v="216"/>
    <x v="2382"/>
  </r>
  <r>
    <x v="4"/>
    <x v="57"/>
    <x v="216"/>
    <x v="2383"/>
  </r>
  <r>
    <x v="12"/>
    <x v="154"/>
    <x v="217"/>
    <x v="0"/>
  </r>
  <r>
    <x v="5"/>
    <x v="65"/>
    <x v="217"/>
    <x v="2384"/>
  </r>
  <r>
    <x v="9"/>
    <x v="23"/>
    <x v="217"/>
    <x v="2385"/>
  </r>
  <r>
    <x v="0"/>
    <x v="194"/>
    <x v="217"/>
    <x v="2386"/>
  </r>
  <r>
    <x v="1"/>
    <x v="204"/>
    <x v="217"/>
    <x v="2387"/>
  </r>
  <r>
    <x v="10"/>
    <x v="53"/>
    <x v="217"/>
    <x v="2388"/>
  </r>
  <r>
    <x v="7"/>
    <x v="200"/>
    <x v="217"/>
    <x v="2389"/>
  </r>
  <r>
    <x v="3"/>
    <x v="72"/>
    <x v="217"/>
    <x v="2390"/>
  </r>
  <r>
    <x v="3"/>
    <x v="17"/>
    <x v="217"/>
    <x v="2391"/>
  </r>
  <r>
    <x v="4"/>
    <x v="215"/>
    <x v="217"/>
    <x v="2392"/>
  </r>
  <r>
    <x v="4"/>
    <x v="118"/>
    <x v="217"/>
    <x v="2393"/>
  </r>
  <r>
    <x v="4"/>
    <x v="51"/>
    <x v="217"/>
    <x v="2394"/>
  </r>
  <r>
    <x v="4"/>
    <x v="20"/>
    <x v="217"/>
    <x v="2395"/>
  </r>
  <r>
    <x v="5"/>
    <x v="45"/>
    <x v="218"/>
    <x v="2396"/>
  </r>
  <r>
    <x v="0"/>
    <x v="183"/>
    <x v="218"/>
    <x v="2397"/>
  </r>
  <r>
    <x v="10"/>
    <x v="69"/>
    <x v="218"/>
    <x v="2398"/>
  </r>
  <r>
    <x v="7"/>
    <x v="171"/>
    <x v="218"/>
    <x v="2399"/>
  </r>
  <r>
    <x v="7"/>
    <x v="161"/>
    <x v="218"/>
    <x v="2400"/>
  </r>
  <r>
    <x v="2"/>
    <x v="233"/>
    <x v="218"/>
    <x v="2401"/>
  </r>
  <r>
    <x v="2"/>
    <x v="235"/>
    <x v="218"/>
    <x v="2402"/>
  </r>
  <r>
    <x v="3"/>
    <x v="93"/>
    <x v="218"/>
    <x v="2403"/>
  </r>
  <r>
    <x v="3"/>
    <x v="16"/>
    <x v="218"/>
    <x v="2404"/>
  </r>
  <r>
    <x v="3"/>
    <x v="236"/>
    <x v="218"/>
    <x v="2405"/>
  </r>
  <r>
    <x v="3"/>
    <x v="166"/>
    <x v="218"/>
    <x v="2406"/>
  </r>
  <r>
    <x v="4"/>
    <x v="167"/>
    <x v="218"/>
    <x v="2407"/>
  </r>
  <r>
    <x v="4"/>
    <x v="215"/>
    <x v="218"/>
    <x v="2408"/>
  </r>
  <r>
    <x v="4"/>
    <x v="58"/>
    <x v="218"/>
    <x v="2409"/>
  </r>
  <r>
    <x v="4"/>
    <x v="141"/>
    <x v="218"/>
    <x v="2410"/>
  </r>
  <r>
    <x v="4"/>
    <x v="63"/>
    <x v="218"/>
    <x v="2411"/>
  </r>
  <r>
    <x v="5"/>
    <x v="77"/>
    <x v="219"/>
    <x v="2412"/>
  </r>
  <r>
    <x v="9"/>
    <x v="97"/>
    <x v="219"/>
    <x v="2413"/>
  </r>
  <r>
    <x v="0"/>
    <x v="0"/>
    <x v="219"/>
    <x v="2414"/>
  </r>
  <r>
    <x v="1"/>
    <x v="99"/>
    <x v="219"/>
    <x v="2415"/>
  </r>
  <r>
    <x v="7"/>
    <x v="176"/>
    <x v="219"/>
    <x v="2416"/>
  </r>
  <r>
    <x v="7"/>
    <x v="223"/>
    <x v="219"/>
    <x v="2417"/>
  </r>
  <r>
    <x v="14"/>
    <x v="218"/>
    <x v="219"/>
    <x v="2418"/>
  </r>
  <r>
    <x v="2"/>
    <x v="188"/>
    <x v="219"/>
    <x v="2419"/>
  </r>
  <r>
    <x v="4"/>
    <x v="7"/>
    <x v="219"/>
    <x v="2420"/>
  </r>
  <r>
    <x v="4"/>
    <x v="8"/>
    <x v="219"/>
    <x v="2421"/>
  </r>
  <r>
    <x v="4"/>
    <x v="153"/>
    <x v="219"/>
    <x v="2422"/>
  </r>
  <r>
    <x v="4"/>
    <x v="141"/>
    <x v="219"/>
    <x v="2423"/>
  </r>
  <r>
    <x v="4"/>
    <x v="59"/>
    <x v="219"/>
    <x v="2424"/>
  </r>
  <r>
    <x v="5"/>
    <x v="86"/>
    <x v="220"/>
    <x v="2425"/>
  </r>
  <r>
    <x v="14"/>
    <x v="55"/>
    <x v="220"/>
    <x v="2426"/>
  </r>
  <r>
    <x v="2"/>
    <x v="146"/>
    <x v="220"/>
    <x v="2427"/>
  </r>
  <r>
    <x v="3"/>
    <x v="43"/>
    <x v="220"/>
    <x v="2428"/>
  </r>
  <r>
    <x v="3"/>
    <x v="5"/>
    <x v="220"/>
    <x v="2429"/>
  </r>
  <r>
    <x v="4"/>
    <x v="8"/>
    <x v="220"/>
    <x v="2430"/>
  </r>
  <r>
    <x v="4"/>
    <x v="18"/>
    <x v="220"/>
    <x v="2431"/>
  </r>
  <r>
    <x v="4"/>
    <x v="227"/>
    <x v="220"/>
    <x v="2432"/>
  </r>
  <r>
    <x v="4"/>
    <x v="227"/>
    <x v="220"/>
    <x v="2433"/>
  </r>
  <r>
    <x v="4"/>
    <x v="152"/>
    <x v="220"/>
    <x v="2434"/>
  </r>
  <r>
    <x v="6"/>
    <x v="169"/>
    <x v="221"/>
    <x v="2435"/>
  </r>
  <r>
    <x v="4"/>
    <x v="7"/>
    <x v="221"/>
    <x v="2436"/>
  </r>
  <r>
    <x v="4"/>
    <x v="8"/>
    <x v="221"/>
    <x v="2437"/>
  </r>
  <r>
    <x v="4"/>
    <x v="62"/>
    <x v="221"/>
    <x v="2438"/>
  </r>
  <r>
    <x v="4"/>
    <x v="215"/>
    <x v="221"/>
    <x v="2439"/>
  </r>
  <r>
    <x v="4"/>
    <x v="215"/>
    <x v="221"/>
    <x v="2440"/>
  </r>
  <r>
    <x v="4"/>
    <x v="110"/>
    <x v="221"/>
    <x v="2441"/>
  </r>
  <r>
    <x v="4"/>
    <x v="36"/>
    <x v="221"/>
    <x v="2442"/>
  </r>
  <r>
    <x v="4"/>
    <x v="59"/>
    <x v="221"/>
    <x v="2443"/>
  </r>
  <r>
    <x v="8"/>
    <x v="189"/>
    <x v="222"/>
    <x v="2444"/>
  </r>
  <r>
    <x v="0"/>
    <x v="122"/>
    <x v="222"/>
    <x v="2445"/>
  </r>
  <r>
    <x v="0"/>
    <x v="27"/>
    <x v="222"/>
    <x v="2446"/>
  </r>
  <r>
    <x v="7"/>
    <x v="192"/>
    <x v="222"/>
    <x v="2447"/>
  </r>
  <r>
    <x v="7"/>
    <x v="112"/>
    <x v="222"/>
    <x v="1828"/>
  </r>
  <r>
    <x v="3"/>
    <x v="8"/>
    <x v="222"/>
    <x v="2448"/>
  </r>
  <r>
    <x v="3"/>
    <x v="147"/>
    <x v="222"/>
    <x v="2449"/>
  </r>
  <r>
    <x v="3"/>
    <x v="16"/>
    <x v="222"/>
    <x v="2450"/>
  </r>
  <r>
    <x v="4"/>
    <x v="117"/>
    <x v="222"/>
    <x v="2451"/>
  </r>
  <r>
    <x v="5"/>
    <x v="136"/>
    <x v="223"/>
    <x v="2452"/>
  </r>
  <r>
    <x v="0"/>
    <x v="38"/>
    <x v="223"/>
    <x v="2453"/>
  </r>
  <r>
    <x v="7"/>
    <x v="126"/>
    <x v="223"/>
    <x v="2454"/>
  </r>
  <r>
    <x v="13"/>
    <x v="39"/>
    <x v="223"/>
    <x v="2455"/>
  </r>
  <r>
    <x v="3"/>
    <x v="31"/>
    <x v="223"/>
    <x v="2456"/>
  </r>
  <r>
    <x v="3"/>
    <x v="109"/>
    <x v="223"/>
    <x v="2457"/>
  </r>
  <r>
    <x v="4"/>
    <x v="7"/>
    <x v="223"/>
    <x v="2458"/>
  </r>
  <r>
    <x v="4"/>
    <x v="50"/>
    <x v="223"/>
    <x v="1576"/>
  </r>
  <r>
    <x v="4"/>
    <x v="59"/>
    <x v="223"/>
    <x v="2459"/>
  </r>
  <r>
    <x v="12"/>
    <x v="44"/>
    <x v="224"/>
    <x v="2460"/>
  </r>
  <r>
    <x v="5"/>
    <x v="135"/>
    <x v="224"/>
    <x v="2461"/>
  </r>
  <r>
    <x v="0"/>
    <x v="113"/>
    <x v="224"/>
    <x v="2462"/>
  </r>
  <r>
    <x v="15"/>
    <x v="198"/>
    <x v="224"/>
    <x v="2463"/>
  </r>
  <r>
    <x v="6"/>
    <x v="160"/>
    <x v="224"/>
    <x v="2464"/>
  </r>
  <r>
    <x v="7"/>
    <x v="114"/>
    <x v="224"/>
    <x v="2465"/>
  </r>
  <r>
    <x v="2"/>
    <x v="162"/>
    <x v="224"/>
    <x v="2466"/>
  </r>
  <r>
    <x v="3"/>
    <x v="43"/>
    <x v="224"/>
    <x v="2467"/>
  </r>
  <r>
    <x v="3"/>
    <x v="17"/>
    <x v="224"/>
    <x v="2468"/>
  </r>
  <r>
    <x v="3"/>
    <x v="10"/>
    <x v="224"/>
    <x v="2469"/>
  </r>
  <r>
    <x v="4"/>
    <x v="94"/>
    <x v="224"/>
    <x v="2470"/>
  </r>
  <r>
    <x v="4"/>
    <x v="62"/>
    <x v="224"/>
    <x v="2471"/>
  </r>
  <r>
    <x v="4"/>
    <x v="129"/>
    <x v="224"/>
    <x v="2472"/>
  </r>
  <r>
    <x v="8"/>
    <x v="21"/>
    <x v="225"/>
    <x v="2473"/>
  </r>
  <r>
    <x v="12"/>
    <x v="26"/>
    <x v="225"/>
    <x v="2474"/>
  </r>
  <r>
    <x v="5"/>
    <x v="95"/>
    <x v="225"/>
    <x v="2475"/>
  </r>
  <r>
    <x v="5"/>
    <x v="107"/>
    <x v="225"/>
    <x v="2476"/>
  </r>
  <r>
    <x v="5"/>
    <x v="178"/>
    <x v="225"/>
    <x v="2477"/>
  </r>
  <r>
    <x v="5"/>
    <x v="220"/>
    <x v="225"/>
    <x v="2478"/>
  </r>
  <r>
    <x v="1"/>
    <x v="79"/>
    <x v="225"/>
    <x v="2479"/>
  </r>
  <r>
    <x v="10"/>
    <x v="100"/>
    <x v="225"/>
    <x v="2480"/>
  </r>
  <r>
    <x v="2"/>
    <x v="214"/>
    <x v="225"/>
    <x v="2481"/>
  </r>
  <r>
    <x v="2"/>
    <x v="2"/>
    <x v="225"/>
    <x v="2482"/>
  </r>
  <r>
    <x v="3"/>
    <x v="4"/>
    <x v="225"/>
    <x v="2483"/>
  </r>
  <r>
    <x v="3"/>
    <x v="47"/>
    <x v="225"/>
    <x v="2484"/>
  </r>
  <r>
    <x v="4"/>
    <x v="75"/>
    <x v="225"/>
    <x v="2485"/>
  </r>
  <r>
    <x v="4"/>
    <x v="19"/>
    <x v="225"/>
    <x v="377"/>
  </r>
  <r>
    <x v="4"/>
    <x v="83"/>
    <x v="225"/>
    <x v="1896"/>
  </r>
  <r>
    <x v="5"/>
    <x v="228"/>
    <x v="226"/>
    <x v="2486"/>
  </r>
  <r>
    <x v="15"/>
    <x v="158"/>
    <x v="226"/>
    <x v="2487"/>
  </r>
  <r>
    <x v="10"/>
    <x v="28"/>
    <x v="226"/>
    <x v="2488"/>
  </r>
  <r>
    <x v="10"/>
    <x v="125"/>
    <x v="226"/>
    <x v="2489"/>
  </r>
  <r>
    <x v="11"/>
    <x v="231"/>
    <x v="226"/>
    <x v="2490"/>
  </r>
  <r>
    <x v="7"/>
    <x v="186"/>
    <x v="226"/>
    <x v="2491"/>
  </r>
  <r>
    <x v="3"/>
    <x v="147"/>
    <x v="226"/>
    <x v="2492"/>
  </r>
  <r>
    <x v="3"/>
    <x v="116"/>
    <x v="226"/>
    <x v="2493"/>
  </r>
  <r>
    <x v="3"/>
    <x v="226"/>
    <x v="226"/>
    <x v="2494"/>
  </r>
  <r>
    <x v="3"/>
    <x v="6"/>
    <x v="226"/>
    <x v="2495"/>
  </r>
  <r>
    <x v="4"/>
    <x v="77"/>
    <x v="226"/>
    <x v="2496"/>
  </r>
  <r>
    <x v="4"/>
    <x v="84"/>
    <x v="226"/>
    <x v="2497"/>
  </r>
  <r>
    <x v="4"/>
    <x v="152"/>
    <x v="226"/>
    <x v="2498"/>
  </r>
  <r>
    <x v="10"/>
    <x v="123"/>
    <x v="227"/>
    <x v="2499"/>
  </r>
  <r>
    <x v="10"/>
    <x v="196"/>
    <x v="227"/>
    <x v="2500"/>
  </r>
  <r>
    <x v="7"/>
    <x v="150"/>
    <x v="227"/>
    <x v="2501"/>
  </r>
  <r>
    <x v="7"/>
    <x v="199"/>
    <x v="227"/>
    <x v="2502"/>
  </r>
  <r>
    <x v="13"/>
    <x v="24"/>
    <x v="227"/>
    <x v="0"/>
  </r>
  <r>
    <x v="14"/>
    <x v="197"/>
    <x v="227"/>
    <x v="2503"/>
  </r>
  <r>
    <x v="3"/>
    <x v="93"/>
    <x v="227"/>
    <x v="2504"/>
  </r>
  <r>
    <x v="3"/>
    <x v="234"/>
    <x v="227"/>
    <x v="2505"/>
  </r>
  <r>
    <x v="3"/>
    <x v="109"/>
    <x v="227"/>
    <x v="2506"/>
  </r>
  <r>
    <x v="3"/>
    <x v="139"/>
    <x v="227"/>
    <x v="2507"/>
  </r>
  <r>
    <x v="4"/>
    <x v="57"/>
    <x v="227"/>
    <x v="2508"/>
  </r>
  <r>
    <x v="4"/>
    <x v="76"/>
    <x v="227"/>
    <x v="2509"/>
  </r>
  <r>
    <x v="4"/>
    <x v="215"/>
    <x v="227"/>
    <x v="2510"/>
  </r>
  <r>
    <x v="4"/>
    <x v="84"/>
    <x v="227"/>
    <x v="2511"/>
  </r>
  <r>
    <x v="4"/>
    <x v="9"/>
    <x v="227"/>
    <x v="2512"/>
  </r>
  <r>
    <x v="4"/>
    <x v="9"/>
    <x v="227"/>
    <x v="2513"/>
  </r>
  <r>
    <x v="18"/>
    <x v="155"/>
    <x v="228"/>
    <x v="2514"/>
  </r>
  <r>
    <x v="5"/>
    <x v="156"/>
    <x v="228"/>
    <x v="2515"/>
  </r>
  <r>
    <x v="5"/>
    <x v="87"/>
    <x v="228"/>
    <x v="2516"/>
  </r>
  <r>
    <x v="3"/>
    <x v="56"/>
    <x v="228"/>
    <x v="2517"/>
  </r>
  <r>
    <x v="3"/>
    <x v="56"/>
    <x v="228"/>
    <x v="2518"/>
  </r>
  <r>
    <x v="4"/>
    <x v="201"/>
    <x v="228"/>
    <x v="2519"/>
  </r>
  <r>
    <x v="4"/>
    <x v="119"/>
    <x v="228"/>
    <x v="2520"/>
  </r>
  <r>
    <x v="4"/>
    <x v="121"/>
    <x v="228"/>
    <x v="2521"/>
  </r>
  <r>
    <x v="12"/>
    <x v="190"/>
    <x v="229"/>
    <x v="2522"/>
  </r>
  <r>
    <x v="5"/>
    <x v="13"/>
    <x v="229"/>
    <x v="2523"/>
  </r>
  <r>
    <x v="5"/>
    <x v="15"/>
    <x v="229"/>
    <x v="2524"/>
  </r>
  <r>
    <x v="1"/>
    <x v="144"/>
    <x v="229"/>
    <x v="2525"/>
  </r>
  <r>
    <x v="10"/>
    <x v="61"/>
    <x v="229"/>
    <x v="2526"/>
  </r>
  <r>
    <x v="7"/>
    <x v="184"/>
    <x v="229"/>
    <x v="2527"/>
  </r>
  <r>
    <x v="2"/>
    <x v="163"/>
    <x v="229"/>
    <x v="2528"/>
  </r>
  <r>
    <x v="4"/>
    <x v="62"/>
    <x v="229"/>
    <x v="2529"/>
  </r>
  <r>
    <x v="4"/>
    <x v="10"/>
    <x v="229"/>
    <x v="2530"/>
  </r>
  <r>
    <x v="5"/>
    <x v="66"/>
    <x v="230"/>
    <x v="2531"/>
  </r>
  <r>
    <x v="15"/>
    <x v="232"/>
    <x v="230"/>
    <x v="1743"/>
  </r>
  <r>
    <x v="7"/>
    <x v="182"/>
    <x v="230"/>
    <x v="2532"/>
  </r>
  <r>
    <x v="7"/>
    <x v="46"/>
    <x v="230"/>
    <x v="2533"/>
  </r>
  <r>
    <x v="3"/>
    <x v="31"/>
    <x v="230"/>
    <x v="2534"/>
  </r>
  <r>
    <x v="3"/>
    <x v="50"/>
    <x v="230"/>
    <x v="2535"/>
  </r>
  <r>
    <x v="3"/>
    <x v="74"/>
    <x v="230"/>
    <x v="2536"/>
  </r>
  <r>
    <x v="4"/>
    <x v="57"/>
    <x v="230"/>
    <x v="2537"/>
  </r>
  <r>
    <x v="4"/>
    <x v="173"/>
    <x v="230"/>
    <x v="2538"/>
  </r>
  <r>
    <x v="4"/>
    <x v="36"/>
    <x v="230"/>
    <x v="2539"/>
  </r>
  <r>
    <x v="5"/>
    <x v="149"/>
    <x v="231"/>
    <x v="2540"/>
  </r>
  <r>
    <x v="5"/>
    <x v="130"/>
    <x v="231"/>
    <x v="2541"/>
  </r>
  <r>
    <x v="9"/>
    <x v="179"/>
    <x v="231"/>
    <x v="0"/>
  </r>
  <r>
    <x v="10"/>
    <x v="124"/>
    <x v="231"/>
    <x v="2542"/>
  </r>
  <r>
    <x v="2"/>
    <x v="70"/>
    <x v="231"/>
    <x v="2543"/>
  </r>
  <r>
    <x v="3"/>
    <x v="109"/>
    <x v="231"/>
    <x v="2544"/>
  </r>
  <r>
    <x v="4"/>
    <x v="34"/>
    <x v="231"/>
    <x v="2545"/>
  </r>
  <r>
    <x v="4"/>
    <x v="140"/>
    <x v="231"/>
    <x v="2546"/>
  </r>
  <r>
    <x v="4"/>
    <x v="201"/>
    <x v="231"/>
    <x v="2547"/>
  </r>
  <r>
    <x v="4"/>
    <x v="11"/>
    <x v="231"/>
    <x v="2548"/>
  </r>
  <r>
    <x v="4"/>
    <x v="12"/>
    <x v="231"/>
    <x v="2549"/>
  </r>
  <r>
    <x v="12"/>
    <x v="216"/>
    <x v="232"/>
    <x v="2550"/>
  </r>
  <r>
    <x v="0"/>
    <x v="88"/>
    <x v="232"/>
    <x v="2551"/>
  </r>
  <r>
    <x v="0"/>
    <x v="67"/>
    <x v="232"/>
    <x v="2552"/>
  </r>
  <r>
    <x v="10"/>
    <x v="80"/>
    <x v="232"/>
    <x v="2553"/>
  </r>
  <r>
    <x v="11"/>
    <x v="212"/>
    <x v="232"/>
    <x v="2554"/>
  </r>
  <r>
    <x v="7"/>
    <x v="54"/>
    <x v="232"/>
    <x v="2555"/>
  </r>
  <r>
    <x v="3"/>
    <x v="165"/>
    <x v="232"/>
    <x v="2556"/>
  </r>
  <r>
    <x v="3"/>
    <x v="22"/>
    <x v="232"/>
    <x v="2557"/>
  </r>
  <r>
    <x v="4"/>
    <x v="8"/>
    <x v="232"/>
    <x v="2558"/>
  </r>
  <r>
    <x v="4"/>
    <x v="34"/>
    <x v="232"/>
    <x v="2559"/>
  </r>
  <r>
    <x v="4"/>
    <x v="129"/>
    <x v="232"/>
    <x v="2560"/>
  </r>
  <r>
    <x v="4"/>
    <x v="10"/>
    <x v="232"/>
    <x v="2561"/>
  </r>
  <r>
    <x v="0"/>
    <x v="185"/>
    <x v="233"/>
    <x v="2562"/>
  </r>
  <r>
    <x v="14"/>
    <x v="224"/>
    <x v="233"/>
    <x v="0"/>
  </r>
  <r>
    <x v="2"/>
    <x v="207"/>
    <x v="233"/>
    <x v="2563"/>
  </r>
  <r>
    <x v="2"/>
    <x v="164"/>
    <x v="233"/>
    <x v="2564"/>
  </r>
  <r>
    <x v="4"/>
    <x v="167"/>
    <x v="233"/>
    <x v="2565"/>
  </r>
  <r>
    <x v="4"/>
    <x v="110"/>
    <x v="233"/>
    <x v="2566"/>
  </r>
  <r>
    <x v="4"/>
    <x v="63"/>
    <x v="233"/>
    <x v="2567"/>
  </r>
  <r>
    <x v="4"/>
    <x v="152"/>
    <x v="233"/>
    <x v="2568"/>
  </r>
  <r>
    <x v="12"/>
    <x v="142"/>
    <x v="234"/>
    <x v="2569"/>
  </r>
  <r>
    <x v="5"/>
    <x v="60"/>
    <x v="234"/>
    <x v="2570"/>
  </r>
  <r>
    <x v="7"/>
    <x v="205"/>
    <x v="234"/>
    <x v="2571"/>
  </r>
  <r>
    <x v="7"/>
    <x v="213"/>
    <x v="234"/>
    <x v="2572"/>
  </r>
  <r>
    <x v="13"/>
    <x v="187"/>
    <x v="234"/>
    <x v="2573"/>
  </r>
  <r>
    <x v="3"/>
    <x v="32"/>
    <x v="234"/>
    <x v="2574"/>
  </r>
  <r>
    <x v="3"/>
    <x v="73"/>
    <x v="234"/>
    <x v="2575"/>
  </r>
  <r>
    <x v="4"/>
    <x v="76"/>
    <x v="234"/>
    <x v="2576"/>
  </r>
  <r>
    <x v="4"/>
    <x v="110"/>
    <x v="234"/>
    <x v="2577"/>
  </r>
  <r>
    <x v="4"/>
    <x v="110"/>
    <x v="234"/>
    <x v="2578"/>
  </r>
  <r>
    <x v="5"/>
    <x v="177"/>
    <x v="235"/>
    <x v="2579"/>
  </r>
  <r>
    <x v="0"/>
    <x v="143"/>
    <x v="235"/>
    <x v="2580"/>
  </r>
  <r>
    <x v="15"/>
    <x v="68"/>
    <x v="235"/>
    <x v="2581"/>
  </r>
  <r>
    <x v="15"/>
    <x v="180"/>
    <x v="235"/>
    <x v="0"/>
  </r>
  <r>
    <x v="15"/>
    <x v="85"/>
    <x v="235"/>
    <x v="2582"/>
  </r>
  <r>
    <x v="15"/>
    <x v="89"/>
    <x v="235"/>
    <x v="2583"/>
  </r>
  <r>
    <x v="6"/>
    <x v="14"/>
    <x v="235"/>
    <x v="2584"/>
  </r>
  <r>
    <x v="6"/>
    <x v="131"/>
    <x v="235"/>
    <x v="2585"/>
  </r>
  <r>
    <x v="2"/>
    <x v="104"/>
    <x v="235"/>
    <x v="2586"/>
  </r>
  <r>
    <x v="3"/>
    <x v="22"/>
    <x v="235"/>
    <x v="2587"/>
  </r>
  <r>
    <x v="12"/>
    <x v="127"/>
    <x v="236"/>
    <x v="2588"/>
  </r>
  <r>
    <x v="5"/>
    <x v="45"/>
    <x v="236"/>
    <x v="2589"/>
  </r>
  <r>
    <x v="6"/>
    <x v="25"/>
    <x v="236"/>
    <x v="2590"/>
  </r>
  <r>
    <x v="11"/>
    <x v="30"/>
    <x v="236"/>
    <x v="2591"/>
  </r>
  <r>
    <x v="7"/>
    <x v="217"/>
    <x v="236"/>
    <x v="2592"/>
  </r>
  <r>
    <x v="3"/>
    <x v="33"/>
    <x v="236"/>
    <x v="2593"/>
  </r>
  <r>
    <x v="3"/>
    <x v="209"/>
    <x v="236"/>
    <x v="2594"/>
  </r>
  <r>
    <x v="3"/>
    <x v="148"/>
    <x v="236"/>
    <x v="2595"/>
  </r>
  <r>
    <x v="4"/>
    <x v="48"/>
    <x v="236"/>
    <x v="2596"/>
  </r>
  <r>
    <x v="4"/>
    <x v="83"/>
    <x v="236"/>
    <x v="2597"/>
  </r>
  <r>
    <x v="4"/>
    <x v="111"/>
    <x v="236"/>
    <x v="2598"/>
  </r>
  <r>
    <x v="5"/>
    <x v="182"/>
    <x v="237"/>
    <x v="2599"/>
  </r>
  <r>
    <x v="5"/>
    <x v="173"/>
    <x v="237"/>
    <x v="2600"/>
  </r>
  <r>
    <x v="10"/>
    <x v="101"/>
    <x v="237"/>
    <x v="2601"/>
  </r>
  <r>
    <x v="2"/>
    <x v="41"/>
    <x v="237"/>
    <x v="2602"/>
  </r>
  <r>
    <x v="3"/>
    <x v="211"/>
    <x v="237"/>
    <x v="2603"/>
  </r>
  <r>
    <x v="3"/>
    <x v="202"/>
    <x v="237"/>
    <x v="2604"/>
  </r>
  <r>
    <x v="3"/>
    <x v="92"/>
    <x v="237"/>
    <x v="2605"/>
  </r>
  <r>
    <x v="3"/>
    <x v="133"/>
    <x v="237"/>
    <x v="2606"/>
  </r>
  <r>
    <x v="3"/>
    <x v="108"/>
    <x v="237"/>
    <x v="2607"/>
  </r>
  <r>
    <x v="3"/>
    <x v="193"/>
    <x v="237"/>
    <x v="2608"/>
  </r>
  <r>
    <x v="5"/>
    <x v="52"/>
    <x v="238"/>
    <x v="2609"/>
  </r>
  <r>
    <x v="13"/>
    <x v="40"/>
    <x v="238"/>
    <x v="2610"/>
  </r>
  <r>
    <x v="2"/>
    <x v="42"/>
    <x v="238"/>
    <x v="2611"/>
  </r>
  <r>
    <x v="3"/>
    <x v="165"/>
    <x v="238"/>
    <x v="2612"/>
  </r>
  <r>
    <x v="3"/>
    <x v="73"/>
    <x v="238"/>
    <x v="2613"/>
  </r>
  <r>
    <x v="4"/>
    <x v="8"/>
    <x v="238"/>
    <x v="2614"/>
  </r>
  <r>
    <x v="4"/>
    <x v="82"/>
    <x v="238"/>
    <x v="2615"/>
  </r>
  <r>
    <x v="4"/>
    <x v="19"/>
    <x v="238"/>
    <x v="2616"/>
  </r>
  <r>
    <x v="4"/>
    <x v="118"/>
    <x v="238"/>
    <x v="2617"/>
  </r>
  <r>
    <x v="4"/>
    <x v="118"/>
    <x v="238"/>
    <x v="2618"/>
  </r>
  <r>
    <x v="4"/>
    <x v="49"/>
    <x v="238"/>
    <x v="2619"/>
  </r>
  <r>
    <x v="4"/>
    <x v="120"/>
    <x v="238"/>
    <x v="2620"/>
  </r>
  <r>
    <x v="4"/>
    <x v="120"/>
    <x v="238"/>
    <x v="2621"/>
  </r>
  <r>
    <x v="5"/>
    <x v="78"/>
    <x v="239"/>
    <x v="2622"/>
  </r>
  <r>
    <x v="10"/>
    <x v="191"/>
    <x v="239"/>
    <x v="2623"/>
  </r>
  <r>
    <x v="10"/>
    <x v="102"/>
    <x v="239"/>
    <x v="2624"/>
  </r>
  <r>
    <x v="10"/>
    <x v="175"/>
    <x v="239"/>
    <x v="2625"/>
  </r>
  <r>
    <x v="10"/>
    <x v="145"/>
    <x v="239"/>
    <x v="2626"/>
  </r>
  <r>
    <x v="2"/>
    <x v="105"/>
    <x v="239"/>
    <x v="2627"/>
  </r>
  <r>
    <x v="4"/>
    <x v="8"/>
    <x v="239"/>
    <x v="2628"/>
  </r>
  <r>
    <x v="4"/>
    <x v="35"/>
    <x v="239"/>
    <x v="2629"/>
  </r>
  <r>
    <x v="4"/>
    <x v="49"/>
    <x v="239"/>
    <x v="2630"/>
  </r>
  <r>
    <x v="4"/>
    <x v="77"/>
    <x v="239"/>
    <x v="999"/>
  </r>
  <r>
    <x v="4"/>
    <x v="50"/>
    <x v="239"/>
    <x v="2631"/>
  </r>
  <r>
    <x v="5"/>
    <x v="96"/>
    <x v="240"/>
    <x v="2632"/>
  </r>
  <r>
    <x v="2"/>
    <x v="225"/>
    <x v="240"/>
    <x v="2633"/>
  </r>
  <r>
    <x v="3"/>
    <x v="75"/>
    <x v="240"/>
    <x v="2634"/>
  </r>
  <r>
    <x v="3"/>
    <x v="5"/>
    <x v="240"/>
    <x v="2635"/>
  </r>
  <r>
    <x v="3"/>
    <x v="108"/>
    <x v="240"/>
    <x v="2636"/>
  </r>
  <r>
    <x v="3"/>
    <x v="134"/>
    <x v="240"/>
    <x v="2637"/>
  </r>
  <r>
    <x v="3"/>
    <x v="51"/>
    <x v="240"/>
    <x v="2638"/>
  </r>
  <r>
    <x v="4"/>
    <x v="141"/>
    <x v="240"/>
    <x v="2639"/>
  </r>
  <r>
    <x v="4"/>
    <x v="119"/>
    <x v="240"/>
    <x v="2640"/>
  </r>
  <r>
    <x v="6"/>
    <x v="98"/>
    <x v="241"/>
    <x v="2641"/>
  </r>
  <r>
    <x v="1"/>
    <x v="1"/>
    <x v="241"/>
    <x v="179"/>
  </r>
  <r>
    <x v="10"/>
    <x v="170"/>
    <x v="241"/>
    <x v="2642"/>
  </r>
  <r>
    <x v="16"/>
    <x v="103"/>
    <x v="241"/>
    <x v="2643"/>
  </r>
  <r>
    <x v="2"/>
    <x v="91"/>
    <x v="241"/>
    <x v="2644"/>
  </r>
  <r>
    <x v="3"/>
    <x v="4"/>
    <x v="241"/>
    <x v="2645"/>
  </r>
  <r>
    <x v="3"/>
    <x v="211"/>
    <x v="241"/>
    <x v="2646"/>
  </r>
  <r>
    <x v="3"/>
    <x v="128"/>
    <x v="241"/>
    <x v="2647"/>
  </r>
  <r>
    <x v="4"/>
    <x v="35"/>
    <x v="241"/>
    <x v="2648"/>
  </r>
  <r>
    <x v="4"/>
    <x v="51"/>
    <x v="241"/>
    <x v="2649"/>
  </r>
  <r>
    <x v="4"/>
    <x v="111"/>
    <x v="241"/>
    <x v="2650"/>
  </r>
  <r>
    <x v="4"/>
    <x v="20"/>
    <x v="241"/>
    <x v="2651"/>
  </r>
  <r>
    <x v="5"/>
    <x v="157"/>
    <x v="242"/>
    <x v="2652"/>
  </r>
  <r>
    <x v="14"/>
    <x v="206"/>
    <x v="242"/>
    <x v="2653"/>
  </r>
  <r>
    <x v="3"/>
    <x v="47"/>
    <x v="242"/>
    <x v="2654"/>
  </r>
  <r>
    <x v="4"/>
    <x v="76"/>
    <x v="242"/>
    <x v="2655"/>
  </r>
  <r>
    <x v="4"/>
    <x v="173"/>
    <x v="242"/>
    <x v="2656"/>
  </r>
  <r>
    <x v="4"/>
    <x v="50"/>
    <x v="242"/>
    <x v="2657"/>
  </r>
  <r>
    <x v="4"/>
    <x v="9"/>
    <x v="242"/>
    <x v="265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7">
  <r>
    <s v="Соколова Елена Владимировна"/>
    <n v="3.2647561855077729E-2"/>
    <x v="0"/>
    <x v="0"/>
    <n v="1281153"/>
  </r>
  <r>
    <s v="Кузнецов Никита Антонович"/>
    <n v="3.2044011404104088E-2"/>
    <x v="0"/>
    <x v="0"/>
    <n v="962043"/>
  </r>
  <r>
    <s v="Комаров Степан Федорович"/>
    <n v="2.9968640075796901E-2"/>
    <x v="0"/>
    <x v="0"/>
    <n v="223066"/>
  </r>
  <r>
    <s v="Баранова Ольга Евгеньевна"/>
    <n v="2.7595462161016736E-2"/>
    <x v="0"/>
    <x v="0"/>
    <n v="796801"/>
  </r>
  <r>
    <s v="Васильев Александр Игоревич"/>
    <n v="2.750830347205073E-2"/>
    <x v="0"/>
    <x v="0"/>
    <n v="743301"/>
  </r>
  <r>
    <s v="Комарова Людмила Сергеевна"/>
    <n v="2.6690439970081893E-2"/>
    <x v="0"/>
    <x v="0"/>
    <n v="474039"/>
  </r>
  <r>
    <s v="Баранов Антон Александрович"/>
    <n v="2.6474540532468883E-2"/>
    <x v="0"/>
    <x v="0"/>
    <n v="323488"/>
  </r>
  <r>
    <s v="Волкова Юлия Викторовна"/>
    <n v="2.6103981599549398E-2"/>
    <x v="0"/>
    <x v="0"/>
    <n v="869292"/>
  </r>
  <r>
    <s v="Борисова Ксения Николаевна"/>
    <n v="2.6045240475163184E-2"/>
    <x v="0"/>
    <x v="0"/>
    <n v="256396"/>
  </r>
  <r>
    <s v="Иванов Михаил Дмитриевич"/>
    <n v="2.6021245279552876E-2"/>
    <x v="0"/>
    <x v="0"/>
    <n v="632970"/>
  </r>
  <r>
    <s v="Сидорова Екатерина Денисовна"/>
    <n v="2.5665552834301074E-2"/>
    <x v="0"/>
    <x v="0"/>
    <n v="473530"/>
  </r>
  <r>
    <s v="Николаева Софья Игоревна"/>
    <n v="2.5554328478535209E-2"/>
    <x v="0"/>
    <x v="0"/>
    <n v="1232944"/>
  </r>
  <r>
    <s v="Лебедев Павел Артемович"/>
    <n v="2.5025419939973134E-2"/>
    <x v="0"/>
    <x v="0"/>
    <n v="1000118"/>
  </r>
  <r>
    <s v="Иванов Юрий Дмитриевич"/>
    <n v="2.439108009672054E-2"/>
    <x v="0"/>
    <x v="0"/>
    <n v="258435"/>
  </r>
  <r>
    <s v="Зайцев Степан Олегович"/>
    <n v="2.4181571200891802E-2"/>
    <x v="0"/>
    <x v="0"/>
    <n v="519961"/>
  </r>
  <r>
    <s v="Романов Кирилл Дмитриевич"/>
    <n v="2.4066534174539501E-2"/>
    <x v="0"/>
    <x v="0"/>
    <n v="289112"/>
  </r>
  <r>
    <s v="Белов Степан Дмитриевич"/>
    <n v="2.4026638146690829E-2"/>
    <x v="0"/>
    <x v="0"/>
    <n v="247989"/>
  </r>
  <r>
    <s v="Яковлева Валерия Николаевна"/>
    <n v="2.3935477492101336E-2"/>
    <x v="0"/>
    <x v="0"/>
    <n v="272595"/>
  </r>
  <r>
    <s v="Андреева Ольга Олеговна"/>
    <n v="2.3475072737099274E-2"/>
    <x v="0"/>
    <x v="0"/>
    <n v="681247"/>
  </r>
  <r>
    <s v="Козлова Надежда Игоревна"/>
    <n v="2.3208984867185162E-2"/>
    <x v="0"/>
    <x v="0"/>
    <n v="370056"/>
  </r>
  <r>
    <s v="Куликов Вадим Кириллович"/>
    <n v="2.3057441533243416E-2"/>
    <x v="0"/>
    <x v="0"/>
    <n v="396689"/>
  </r>
  <r>
    <s v="Кузнецов Павел Андреевич"/>
    <n v="2.2728148602932423E-2"/>
    <x v="0"/>
    <x v="0"/>
    <n v="496400"/>
  </r>
  <r>
    <s v="Петров Николай Олегович"/>
    <n v="2.2416918099220147E-2"/>
    <x v="0"/>
    <x v="0"/>
    <n v="676272"/>
  </r>
  <r>
    <s v="Новикова Екатерина Федоровна"/>
    <n v="2.2367499928580555E-2"/>
    <x v="0"/>
    <x v="0"/>
    <n v="247879"/>
  </r>
  <r>
    <s v="Романова Виктория Дмитриевна"/>
    <n v="2.2362979589668097E-2"/>
    <x v="0"/>
    <x v="0"/>
    <n v="406709"/>
  </r>
  <r>
    <s v="Николаев Иван Борисович"/>
    <n v="2.2098189323226387E-2"/>
    <x v="0"/>
    <x v="0"/>
    <n v="464356"/>
  </r>
  <r>
    <s v="Сидоров Федор Кириллович"/>
    <n v="2.2030585801666516E-2"/>
    <x v="0"/>
    <x v="0"/>
    <n v="674351"/>
  </r>
  <r>
    <s v="Григорьева Анна Денисовна"/>
    <n v="2.1794846781781362E-2"/>
    <x v="0"/>
    <x v="0"/>
    <n v="315469"/>
  </r>
  <r>
    <s v="Кузнецов Борис Максимович"/>
    <n v="2.1744975997733406E-2"/>
    <x v="0"/>
    <x v="0"/>
    <n v="1046347"/>
  </r>
  <r>
    <s v="Романов Кирилл Романович"/>
    <n v="2.0861285824829424E-2"/>
    <x v="0"/>
    <x v="0"/>
    <n v="221902"/>
  </r>
  <r>
    <s v="Павлова Анастасия Романовна"/>
    <n v="2.0801285741647805E-2"/>
    <x v="0"/>
    <x v="0"/>
    <n v="1012313"/>
  </r>
  <r>
    <s v="Сидоров Максим Иванович"/>
    <n v="2.0626632864350809E-2"/>
    <x v="0"/>
    <x v="0"/>
    <n v="1011121"/>
  </r>
  <r>
    <s v="Степанов Кирилл Ильич"/>
    <n v="2.0610236405881971E-2"/>
    <x v="0"/>
    <x v="0"/>
    <n v="1336720"/>
  </r>
  <r>
    <s v="Борисов Игорь Евгеньевич"/>
    <n v="2.0303802962012292E-2"/>
    <x v="0"/>
    <x v="0"/>
    <n v="476581"/>
  </r>
  <r>
    <s v="Баранов Евгений Борисович"/>
    <n v="2.0187105704463502E-2"/>
    <x v="0"/>
    <x v="0"/>
    <n v="1332843"/>
  </r>
  <r>
    <s v="Новикова Мария Андреевна"/>
    <n v="1.9798809735649167E-2"/>
    <x v="0"/>
    <x v="0"/>
    <n v="1076932"/>
  </r>
  <r>
    <s v="Семенов Борис Павлович"/>
    <n v="1.8961018940159197E-2"/>
    <x v="0"/>
    <x v="0"/>
    <n v="330631"/>
  </r>
  <r>
    <s v="Романова Валерия Сергеевна"/>
    <n v="1.699788542453368E-2"/>
    <x v="0"/>
    <x v="0"/>
    <n v="1087017"/>
  </r>
  <r>
    <s v="Павлова Татьяна Викторовна"/>
    <n v="1.6797505898773511E-2"/>
    <x v="0"/>
    <x v="0"/>
    <n v="503387"/>
  </r>
  <r>
    <s v="Тарасова Надежда Николаевна"/>
    <n v="1.6306885295884439E-2"/>
    <x v="0"/>
    <x v="0"/>
    <n v="319409"/>
  </r>
  <r>
    <s v="Михайлова Мария Максимовна"/>
    <n v="1.5967323877980121E-2"/>
    <x v="0"/>
    <x v="0"/>
    <n v="697695"/>
  </r>
  <r>
    <s v="Егоров Андрей Иванович"/>
    <n v="1.5712357293015625E-2"/>
    <x v="0"/>
    <x v="0"/>
    <n v="290039"/>
  </r>
  <r>
    <s v="Федорова Ирина Федоровна"/>
    <n v="1.5251210650113626E-2"/>
    <x v="0"/>
    <x v="0"/>
    <n v="587659"/>
  </r>
  <r>
    <s v="Семенова Алина Александровна"/>
    <n v="1.3978085661395688E-2"/>
    <x v="0"/>
    <x v="0"/>
    <n v="232657"/>
  </r>
  <r>
    <s v="Сидорова Алина Юрьевна"/>
    <n v="1.2376196257228479E-2"/>
    <x v="0"/>
    <x v="0"/>
    <n v="386191"/>
  </r>
  <r>
    <s v="Николаева Полина Владимировна"/>
    <n v="0.23244398852369808"/>
    <x v="0"/>
    <x v="1"/>
    <n v="412862"/>
  </r>
  <r>
    <s v="Макаров Виктор Владимирович"/>
    <n v="0.2247565364374354"/>
    <x v="0"/>
    <x v="1"/>
    <n v="325106"/>
  </r>
  <r>
    <s v="Степанов Борис Александрович"/>
    <n v="0.20352355866848951"/>
    <x v="0"/>
    <x v="1"/>
    <n v="974474"/>
  </r>
  <r>
    <s v="Комаров Борис Борисович"/>
    <n v="0.19653597000984768"/>
    <x v="0"/>
    <x v="1"/>
    <n v="278945"/>
  </r>
  <r>
    <s v="Тарасова Мария Ивановна"/>
    <n v="0.19326278846729095"/>
    <x v="0"/>
    <x v="1"/>
    <n v="220802"/>
  </r>
  <r>
    <s v="Воробьев Алексей Николаевич"/>
    <n v="0.18660726645082018"/>
    <x v="0"/>
    <x v="1"/>
    <n v="229598"/>
  </r>
  <r>
    <s v="Ковалев Дмитрий Павлович"/>
    <n v="0.1820647323522577"/>
    <x v="0"/>
    <x v="1"/>
    <n v="554179"/>
  </r>
  <r>
    <s v="Смирнова Надежда Алексеевна"/>
    <n v="0.18048014219790601"/>
    <x v="0"/>
    <x v="1"/>
    <n v="249130"/>
  </r>
  <r>
    <s v="Григорьев Никита Антонович"/>
    <n v="0.17966028816127988"/>
    <x v="0"/>
    <x v="1"/>
    <n v="1107364"/>
  </r>
  <r>
    <s v="Сидоров Кирилл Андреевич"/>
    <n v="0.17927432704653609"/>
    <x v="0"/>
    <x v="1"/>
    <n v="629188"/>
  </r>
  <r>
    <s v="Степанов Юрий Николаевич"/>
    <n v="0.17891090362827433"/>
    <x v="0"/>
    <x v="1"/>
    <n v="812482"/>
  </r>
  <r>
    <s v="Смирнов Вадим Романович"/>
    <n v="0.17661156287271598"/>
    <x v="0"/>
    <x v="1"/>
    <n v="784850"/>
  </r>
  <r>
    <s v="Васильев Артем Евгеньевич"/>
    <n v="0.17435526493113185"/>
    <x v="0"/>
    <x v="1"/>
    <n v="446372"/>
  </r>
  <r>
    <s v="Егоров Сергей Максимович"/>
    <n v="0.17370859423865634"/>
    <x v="0"/>
    <x v="1"/>
    <n v="699732"/>
  </r>
  <r>
    <s v="Федоров Артем Викторович"/>
    <n v="0.17165555796625584"/>
    <x v="0"/>
    <x v="1"/>
    <n v="288422"/>
  </r>
  <r>
    <s v="Баранов Роман Артемович"/>
    <n v="0.17133403454199367"/>
    <x v="0"/>
    <x v="1"/>
    <n v="219816"/>
  </r>
  <r>
    <s v="Соколова Юлия Романовна"/>
    <n v="0.17016215332877135"/>
    <x v="0"/>
    <x v="1"/>
    <n v="1135927"/>
  </r>
  <r>
    <s v="Морозов Антон Антонович"/>
    <n v="0.16532491675180727"/>
    <x v="0"/>
    <x v="1"/>
    <n v="343654"/>
  </r>
  <r>
    <s v="Михайлова Полина Федоровна"/>
    <n v="0.16385077932040337"/>
    <x v="0"/>
    <x v="1"/>
    <n v="300031"/>
  </r>
  <r>
    <s v="Волкова Надежда Андреевна"/>
    <n v="0.16243636892947805"/>
    <x v="0"/>
    <x v="1"/>
    <n v="403440"/>
  </r>
  <r>
    <s v="Романова Полина Денисовна"/>
    <n v="0.16013192494705308"/>
    <x v="0"/>
    <x v="1"/>
    <n v="667684"/>
  </r>
  <r>
    <s v="Андреев Федор Ильич"/>
    <n v="0.15524169040442887"/>
    <x v="0"/>
    <x v="1"/>
    <n v="488621"/>
  </r>
  <r>
    <s v="Зайцев Андрей Сергеевич"/>
    <n v="0.15474008563216976"/>
    <x v="0"/>
    <x v="1"/>
    <n v="267641"/>
  </r>
  <r>
    <s v="Козлов Артем Кириллович"/>
    <n v="0.15463029491093669"/>
    <x v="0"/>
    <x v="1"/>
    <n v="520288"/>
  </r>
  <r>
    <s v="Орлов Артем Иванович"/>
    <n v="0.15421211719568659"/>
    <x v="0"/>
    <x v="1"/>
    <n v="1405256"/>
  </r>
  <r>
    <s v="Никитина Александра Дмитриевна"/>
    <n v="0.15372817536678007"/>
    <x v="0"/>
    <x v="1"/>
    <n v="974284"/>
  </r>
  <r>
    <s v="Захарова Софья Максимовна"/>
    <n v="0.14541093228258947"/>
    <x v="0"/>
    <x v="1"/>
    <n v="560348"/>
  </r>
  <r>
    <s v="Семенова Мария Максимовна"/>
    <n v="0.14358294136374603"/>
    <x v="0"/>
    <x v="1"/>
    <n v="325278"/>
  </r>
  <r>
    <s v="Семенова Екатерина Алексеевна"/>
    <n v="0.14334567773737186"/>
    <x v="0"/>
    <x v="1"/>
    <n v="1130571"/>
  </r>
  <r>
    <s v="Воробьев Кирилл Алексеевич"/>
    <n v="0.13569734381736631"/>
    <x v="0"/>
    <x v="1"/>
    <n v="748893"/>
  </r>
  <r>
    <s v="Григорьев Вадим Кириллович"/>
    <n v="0.12616217710260419"/>
    <x v="0"/>
    <x v="1"/>
    <n v="249675"/>
  </r>
  <r>
    <s v="Ковалев Владимир Федорович"/>
    <n v="0.12600714571938687"/>
    <x v="0"/>
    <x v="1"/>
    <n v="480746"/>
  </r>
  <r>
    <s v="Иванов Павел Денисович"/>
    <n v="0.12050503192693231"/>
    <x v="0"/>
    <x v="1"/>
    <n v="1207758"/>
  </r>
  <r>
    <s v="Ковалев Никита Андреевич"/>
    <n v="0.91244371588280548"/>
    <x v="0"/>
    <x v="2"/>
    <n v="388242"/>
  </r>
  <r>
    <s v="Воробьева Анна Дмитриевна"/>
    <n v="0.86841710668940519"/>
    <x v="0"/>
    <x v="2"/>
    <n v="303306"/>
  </r>
  <r>
    <s v="Федорова Александра Олеговна"/>
    <n v="0.75822839004709042"/>
    <x v="0"/>
    <x v="2"/>
    <n v="387210"/>
  </r>
  <r>
    <s v="Яковлев Андрей Артемович"/>
    <n v="0.73651852172520693"/>
    <x v="0"/>
    <x v="2"/>
    <n v="1061619"/>
  </r>
  <r>
    <s v="Куликова Анастасия Викторовна"/>
    <n v="0.7181095512224035"/>
    <x v="0"/>
    <x v="2"/>
    <n v="471610"/>
  </r>
  <r>
    <s v="Попова Ирина Александровна"/>
    <n v="0.71509914618550618"/>
    <x v="0"/>
    <x v="2"/>
    <n v="420097"/>
  </r>
  <r>
    <s v="Ковалева Наталья Ильинична"/>
    <n v="0.69381077876376662"/>
    <x v="0"/>
    <x v="2"/>
    <n v="244248"/>
  </r>
  <r>
    <s v="Воробьев Антон Николаевич"/>
    <n v="0.6927335224721024"/>
    <x v="0"/>
    <x v="2"/>
    <n v="1280970"/>
  </r>
  <r>
    <s v="Тарасова Дарья Алексеевна"/>
    <n v="0.68783600778091691"/>
    <x v="0"/>
    <x v="2"/>
    <n v="303735"/>
  </r>
  <r>
    <s v="Воробьев Сергей Максимович"/>
    <n v="0.68286944853969278"/>
    <x v="0"/>
    <x v="2"/>
    <n v="213016"/>
  </r>
  <r>
    <s v="Федорова Ирина Дмитриевна"/>
    <n v="0.67808116857426892"/>
    <x v="0"/>
    <x v="2"/>
    <n v="314096"/>
  </r>
  <r>
    <s v="Волкова Алина Евгеньевна"/>
    <n v="0.65950954938973061"/>
    <x v="0"/>
    <x v="2"/>
    <n v="401747"/>
  </r>
  <r>
    <s v="Федоров Михаил Михайлович"/>
    <n v="0.62996481403260451"/>
    <x v="0"/>
    <x v="2"/>
    <n v="676296"/>
  </r>
  <r>
    <s v="Орлова Ксения Михайловна"/>
    <n v="0.62497223390976975"/>
    <x v="0"/>
    <x v="2"/>
    <n v="824990"/>
  </r>
  <r>
    <s v="Морозов Максим Николаевич"/>
    <n v="0.61515231064765941"/>
    <x v="0"/>
    <x v="2"/>
    <n v="213956"/>
  </r>
  <r>
    <s v="Комарова Юлия Дмитриевна"/>
    <n v="0.60057042792271087"/>
    <x v="0"/>
    <x v="2"/>
    <n v="1086212"/>
  </r>
  <r>
    <s v="Воробьева Анастасия Федоровна"/>
    <n v="0.58277175412145488"/>
    <x v="0"/>
    <x v="2"/>
    <n v="477086"/>
  </r>
  <r>
    <s v="Куликов Сергей Романович"/>
    <n v="0.58265914556982956"/>
    <x v="0"/>
    <x v="2"/>
    <n v="441171"/>
  </r>
  <r>
    <s v="Лебедева Ирина Николаевна"/>
    <n v="0.57850535268711245"/>
    <x v="0"/>
    <x v="2"/>
    <n v="813908"/>
  </r>
  <r>
    <s v="Комарова Анастасия Алексеевна"/>
    <n v="0.57534619958594679"/>
    <x v="0"/>
    <x v="2"/>
    <n v="577182"/>
  </r>
  <r>
    <s v="Волкова Алина Александровна"/>
    <n v="0.51636622432042223"/>
    <x v="0"/>
    <x v="2"/>
    <n v="1021849"/>
  </r>
  <r>
    <s v="Зайцева Ирина Евгеньевна"/>
    <n v="0.51117581455360428"/>
    <x v="0"/>
    <x v="2"/>
    <n v="1097505"/>
  </r>
  <r>
    <s v="Новиков Михаил Алексеевич"/>
    <n v="0.50286941200470392"/>
    <x v="0"/>
    <x v="2"/>
    <n v="563076"/>
  </r>
  <r>
    <s v="Зайцев Алексей Павлович"/>
    <n v="0.49641206347936528"/>
    <x v="0"/>
    <x v="2"/>
    <n v="310580"/>
  </r>
  <r>
    <s v="Кузнецов Владимир Денисович"/>
    <n v="0.49252518185324257"/>
    <x v="0"/>
    <x v="2"/>
    <n v="771258"/>
  </r>
  <r>
    <s v="Васильев Олег Федорович"/>
    <n v="0.49134253322987631"/>
    <x v="0"/>
    <x v="2"/>
    <n v="1950239"/>
  </r>
  <r>
    <s v="Тарасова Ирина Ивановна"/>
    <n v="0.4641273138107605"/>
    <x v="0"/>
    <x v="2"/>
    <n v="405978"/>
  </r>
  <r>
    <s v="Смирнова Мария Викторовна"/>
    <n v="0.4599754412713104"/>
    <x v="0"/>
    <x v="2"/>
    <n v="218330"/>
  </r>
  <r>
    <s v="Павлова Екатерина Романовна"/>
    <n v="0.45176723267691682"/>
    <x v="0"/>
    <x v="2"/>
    <n v="257941"/>
  </r>
  <r>
    <s v="Иванова Валерия Юрьевна"/>
    <n v="0.37713544640117108"/>
    <x v="0"/>
    <x v="2"/>
    <n v="704499"/>
  </r>
  <r>
    <s v="Смирнова Ксения Владимировна"/>
    <n v="0.33508579288782536"/>
    <x v="0"/>
    <x v="2"/>
    <n v="662303"/>
  </r>
  <r>
    <s v="Степанов Владимир Алексеевич"/>
    <n v="9.4939239192370684E-2"/>
    <x v="1"/>
    <x v="0"/>
    <n v="129343"/>
  </r>
  <r>
    <s v="Михайлова Александра Николаевна"/>
    <n v="3.1912473467274861E-2"/>
    <x v="1"/>
    <x v="0"/>
    <n v="113133"/>
  </r>
  <r>
    <s v="Орлова Елена Алексеевна"/>
    <n v="3.1228339062299892E-2"/>
    <x v="1"/>
    <x v="0"/>
    <n v="118609"/>
  </r>
  <r>
    <s v="Васильев Павел Дмитриевич"/>
    <n v="2.9569537091640171E-2"/>
    <x v="1"/>
    <x v="0"/>
    <n v="110600"/>
  </r>
  <r>
    <s v="Михайлова Полина Сергеевна"/>
    <n v="2.8451705334621453E-2"/>
    <x v="1"/>
    <x v="0"/>
    <n v="153462"/>
  </r>
  <r>
    <s v="Павлов Игорь Дмитриевич"/>
    <n v="2.8177242890601837E-2"/>
    <x v="1"/>
    <x v="0"/>
    <n v="119087"/>
  </r>
  <r>
    <s v="Морозова Софья Павловна"/>
    <n v="2.7417191784742875E-2"/>
    <x v="1"/>
    <x v="0"/>
    <n v="149136"/>
  </r>
  <r>
    <s v="Сергеев Вадим Иванович"/>
    <n v="2.6644959811778106E-2"/>
    <x v="1"/>
    <x v="0"/>
    <n v="156500"/>
  </r>
  <r>
    <s v="Федоров Илья Михайлович"/>
    <n v="2.6558317224123024E-2"/>
    <x v="1"/>
    <x v="0"/>
    <n v="163550"/>
  </r>
  <r>
    <s v="Иванов Борис Сергеевич"/>
    <n v="2.6100985627383597E-2"/>
    <x v="1"/>
    <x v="0"/>
    <n v="200485"/>
  </r>
  <r>
    <s v="Андреева Светлана Ильинична"/>
    <n v="2.4757417226284037E-2"/>
    <x v="1"/>
    <x v="0"/>
    <n v="188072"/>
  </r>
  <r>
    <s v="Комарова Дарья Максимовна"/>
    <n v="2.4744473892347074E-2"/>
    <x v="1"/>
    <x v="0"/>
    <n v="212222"/>
  </r>
  <r>
    <s v="Макарова Александра Олеговна"/>
    <n v="2.4227673906160388E-2"/>
    <x v="1"/>
    <x v="0"/>
    <n v="132174"/>
  </r>
  <r>
    <s v="Зайцев Кирилл Сергеевич"/>
    <n v="2.4007002490285485E-2"/>
    <x v="1"/>
    <x v="0"/>
    <n v="119685"/>
  </r>
  <r>
    <s v="Попов Степан Викторович"/>
    <n v="2.3897540030673365E-2"/>
    <x v="1"/>
    <x v="0"/>
    <n v="130542"/>
  </r>
  <r>
    <s v="Лебедев Сергей Романович"/>
    <n v="2.3742603095208831E-2"/>
    <x v="1"/>
    <x v="0"/>
    <n v="136937"/>
  </r>
  <r>
    <s v="Иванова Людмила Игоревна"/>
    <n v="2.3289557393068431E-2"/>
    <x v="1"/>
    <x v="0"/>
    <n v="160626"/>
  </r>
  <r>
    <s v="Степанов Максим Евгеньевич"/>
    <n v="2.2733746814769772E-2"/>
    <x v="1"/>
    <x v="0"/>
    <n v="113546"/>
  </r>
  <r>
    <s v="Макаров Виктор Александрович"/>
    <n v="2.2564676015979782E-2"/>
    <x v="1"/>
    <x v="0"/>
    <n v="145107"/>
  </r>
  <r>
    <s v="Борисов Борис Александрович"/>
    <n v="2.220218701666779E-2"/>
    <x v="1"/>
    <x v="0"/>
    <n v="196129"/>
  </r>
  <r>
    <s v="Сидорова Софья Федоровна"/>
    <n v="2.21168357440517E-2"/>
    <x v="1"/>
    <x v="0"/>
    <n v="121723"/>
  </r>
  <r>
    <s v="Михайлова Анастасия Денисовна"/>
    <n v="2.1493597113037628E-2"/>
    <x v="1"/>
    <x v="0"/>
    <n v="196883"/>
  </r>
  <r>
    <s v="Соколова Людмила Игоревна"/>
    <n v="2.1348457225404901E-2"/>
    <x v="1"/>
    <x v="0"/>
    <n v="146165"/>
  </r>
  <r>
    <s v="Соколова Людмила Михайловна"/>
    <n v="2.125500393465769E-2"/>
    <x v="1"/>
    <x v="0"/>
    <n v="132527"/>
  </r>
  <r>
    <s v="Семенова Анастасия Сергеевна"/>
    <n v="2.084156013096846E-2"/>
    <x v="1"/>
    <x v="0"/>
    <n v="109435"/>
  </r>
  <r>
    <s v="Борисова Татьяна Максимовна"/>
    <n v="1.9994133791556786E-2"/>
    <x v="1"/>
    <x v="0"/>
    <n v="172013"/>
  </r>
  <r>
    <s v="Ковалев Александр Романович"/>
    <n v="1.9426380481217552E-2"/>
    <x v="1"/>
    <x v="0"/>
    <n v="118902"/>
  </r>
  <r>
    <s v="Белов Степан Артемович"/>
    <n v="1.9272767789466447E-2"/>
    <x v="1"/>
    <x v="0"/>
    <n v="180288"/>
  </r>
  <r>
    <s v="Белов Евгений Дмитриевич"/>
    <n v="1.8079948122674945E-2"/>
    <x v="1"/>
    <x v="0"/>
    <n v="212122"/>
  </r>
  <r>
    <s v="Воробьева Наталья Александровна"/>
    <n v="1.7435012070363406E-2"/>
    <x v="1"/>
    <x v="0"/>
    <n v="117168"/>
  </r>
  <r>
    <s v="Воробьева Александра Ивановна"/>
    <n v="1.3794154632349145E-2"/>
    <x v="1"/>
    <x v="0"/>
    <n v="118410"/>
  </r>
  <r>
    <s v="Козлов Андрей Кириллович"/>
    <n v="1.3178404615022593E-2"/>
    <x v="1"/>
    <x v="0"/>
    <n v="178928"/>
  </r>
  <r>
    <s v="Сергеева Софья Юрьевна"/>
    <n v="1.1472891343108095E-2"/>
    <x v="1"/>
    <x v="0"/>
    <n v="154403"/>
  </r>
  <r>
    <s v="Иванова Анастасия Романовна"/>
    <n v="0.2105669409488542"/>
    <x v="1"/>
    <x v="1"/>
    <n v="133665"/>
  </r>
  <r>
    <s v="Алексеев Андрей Александрович"/>
    <n v="0.20837580191791111"/>
    <x v="1"/>
    <x v="1"/>
    <n v="144110"/>
  </r>
  <r>
    <s v="Белов Вадим Викторович"/>
    <n v="0.20241138959706129"/>
    <x v="1"/>
    <x v="1"/>
    <n v="112199"/>
  </r>
  <r>
    <s v="Куликова Дарья Викторовна"/>
    <n v="0.19393452046753493"/>
    <x v="1"/>
    <x v="1"/>
    <n v="135454"/>
  </r>
  <r>
    <s v="Комарова Александра Владимировна"/>
    <n v="0.1924302877735094"/>
    <x v="1"/>
    <x v="1"/>
    <n v="139275"/>
  </r>
  <r>
    <s v="Захарова Людмила Максимовна"/>
    <n v="0.18655622912107386"/>
    <x v="1"/>
    <x v="1"/>
    <n v="117827"/>
  </r>
  <r>
    <s v="Павлов Николай Андреевич"/>
    <n v="0.18463580939732785"/>
    <x v="1"/>
    <x v="1"/>
    <n v="171110"/>
  </r>
  <r>
    <s v="Зайцева Ольга Викторовна"/>
    <n v="0.18427422913797231"/>
    <x v="1"/>
    <x v="1"/>
    <n v="110360"/>
  </r>
  <r>
    <s v="Петров Сергей Дмитриевич"/>
    <n v="0.18420568323602224"/>
    <x v="1"/>
    <x v="1"/>
    <n v="157209"/>
  </r>
  <r>
    <s v="Новиков Дмитрий Дмитриевич"/>
    <n v="0.18218619948948359"/>
    <x v="1"/>
    <x v="1"/>
    <n v="114499"/>
  </r>
  <r>
    <s v="Семенов Олег Олегович"/>
    <n v="0.18036996069082978"/>
    <x v="1"/>
    <x v="1"/>
    <n v="132514"/>
  </r>
  <r>
    <s v="Морозов Евгений Федорович"/>
    <n v="0.17868477593729237"/>
    <x v="1"/>
    <x v="1"/>
    <n v="116259"/>
  </r>
  <r>
    <s v="Николаев Артем Викторович"/>
    <n v="0.17749110600828386"/>
    <x v="1"/>
    <x v="1"/>
    <n v="141966"/>
  </r>
  <r>
    <s v="Зайцева Елена Юрьевна"/>
    <n v="0.17455426253838099"/>
    <x v="1"/>
    <x v="1"/>
    <n v="199631"/>
  </r>
  <r>
    <s v="Попов Артем Антонович"/>
    <n v="0.1709140789650333"/>
    <x v="1"/>
    <x v="1"/>
    <n v="159324"/>
  </r>
  <r>
    <s v="Лебедева Светлана Антоновна"/>
    <n v="0.15442199005149165"/>
    <x v="1"/>
    <x v="1"/>
    <n v="167653"/>
  </r>
  <r>
    <s v="Козлова Александра Николаевна"/>
    <n v="0.15366068445064604"/>
    <x v="1"/>
    <x v="1"/>
    <n v="126757"/>
  </r>
  <r>
    <s v="Зайцев Дмитрий Алексеевич"/>
    <n v="0.15176080252801663"/>
    <x v="1"/>
    <x v="1"/>
    <n v="206806"/>
  </r>
  <r>
    <s v="Андреева Полина Ильинична"/>
    <n v="0.14904527776174448"/>
    <x v="1"/>
    <x v="1"/>
    <n v="147620"/>
  </r>
  <r>
    <s v="Орлов Сергей Дмитриевич"/>
    <n v="0.14776619310406794"/>
    <x v="1"/>
    <x v="1"/>
    <n v="170691"/>
  </r>
  <r>
    <s v="Тарасов Никита Артемович"/>
    <n v="0.13961410756554354"/>
    <x v="1"/>
    <x v="1"/>
    <n v="120513"/>
  </r>
  <r>
    <s v="Соколов Степан Сергеевич"/>
    <n v="0.12683705475900903"/>
    <x v="1"/>
    <x v="1"/>
    <n v="192164"/>
  </r>
  <r>
    <s v="Козлова Александра Ильинична"/>
    <n v="0.12398618595556875"/>
    <x v="1"/>
    <x v="1"/>
    <n v="119766"/>
  </r>
  <r>
    <s v="Андреев Андрей Игоревич"/>
    <n v="0.11967738579091484"/>
    <x v="1"/>
    <x v="1"/>
    <n v="159395"/>
  </r>
  <r>
    <s v="Петрова Мария Юрьевна"/>
    <n v="0.11816774861966038"/>
    <x v="1"/>
    <x v="1"/>
    <n v="110878"/>
  </r>
  <r>
    <s v="Павлов Михаил Павлович"/>
    <n v="0.11119399224843743"/>
    <x v="1"/>
    <x v="1"/>
    <n v="147653"/>
  </r>
  <r>
    <s v="Васильева Алина Ивановна"/>
    <n v="1.0234183961485921"/>
    <x v="1"/>
    <x v="2"/>
    <n v="153941"/>
  </r>
  <r>
    <s v="Ковалева Александра Михайловна"/>
    <n v="0.89114507110579178"/>
    <x v="1"/>
    <x v="2"/>
    <n v="197477"/>
  </r>
  <r>
    <s v="Сидорова Надежда Михайловна"/>
    <n v="0.85309552548891521"/>
    <x v="1"/>
    <x v="2"/>
    <n v="168926"/>
  </r>
  <r>
    <s v="Сидорова Марина Владимировна"/>
    <n v="0.79794245423818477"/>
    <x v="1"/>
    <x v="2"/>
    <n v="150862"/>
  </r>
  <r>
    <s v="Захарова Анастасия Павловна"/>
    <n v="0.76191093962366996"/>
    <x v="1"/>
    <x v="2"/>
    <n v="114462"/>
  </r>
  <r>
    <s v="Комаров Алексей Антонович"/>
    <n v="0.7612328500723714"/>
    <x v="1"/>
    <x v="2"/>
    <n v="169939"/>
  </r>
  <r>
    <s v="Романова Валерия Павловна"/>
    <n v="0.71335520359635141"/>
    <x v="1"/>
    <x v="2"/>
    <n v="130813"/>
  </r>
  <r>
    <s v="Сидоров Михаил Романович"/>
    <n v="0.66396854277168815"/>
    <x v="1"/>
    <x v="2"/>
    <n v="138321"/>
  </r>
  <r>
    <s v="Григорьева Надежда Сергеевна"/>
    <n v="0.65852502188577533"/>
    <x v="1"/>
    <x v="2"/>
    <n v="182350"/>
  </r>
  <r>
    <s v="Иванов Денис Евгеньевич"/>
    <n v="0.6529006276069802"/>
    <x v="1"/>
    <x v="2"/>
    <n v="123347"/>
  </r>
  <r>
    <s v="Лебедева Марина Андреевна"/>
    <n v="0.62354017646647786"/>
    <x v="1"/>
    <x v="2"/>
    <n v="173855"/>
  </r>
  <r>
    <s v="Павлова Юлия Ильинична"/>
    <n v="0.62092000748652865"/>
    <x v="1"/>
    <x v="2"/>
    <n v="112034"/>
  </r>
  <r>
    <s v="Николаева Татьяна Евгеньевна"/>
    <n v="0.61136604664721628"/>
    <x v="1"/>
    <x v="2"/>
    <n v="122470"/>
  </r>
  <r>
    <s v="Попов Денис Михайлович"/>
    <n v="0.61075147496412574"/>
    <x v="1"/>
    <x v="2"/>
    <n v="122883"/>
  </r>
  <r>
    <s v="Михайлова Мария Михайловна"/>
    <n v="0.60600488590895296"/>
    <x v="1"/>
    <x v="2"/>
    <n v="167270"/>
  </r>
  <r>
    <s v="Сергеева Ксения Алексеевна"/>
    <n v="0.59477610689286176"/>
    <x v="1"/>
    <x v="2"/>
    <n v="170983"/>
  </r>
  <r>
    <s v="Семенов Никита Романович"/>
    <n v="0.58676788674013602"/>
    <x v="1"/>
    <x v="2"/>
    <n v="178657"/>
  </r>
  <r>
    <s v="Павлова Светлана Павловна"/>
    <n v="0.57879516082764215"/>
    <x v="1"/>
    <x v="2"/>
    <n v="120637"/>
  </r>
  <r>
    <s v="Куликова Валерия Антоновна"/>
    <n v="0.52688870365177709"/>
    <x v="1"/>
    <x v="2"/>
    <n v="125422"/>
  </r>
  <r>
    <s v="Баранов Виктор Антонович"/>
    <n v="0.5115032913932589"/>
    <x v="1"/>
    <x v="2"/>
    <n v="132305"/>
  </r>
  <r>
    <s v="Сергеев Борис Александрович"/>
    <n v="0.50901822156863052"/>
    <x v="1"/>
    <x v="2"/>
    <n v="186721"/>
  </r>
  <r>
    <s v="Волкова Елена Ивановна"/>
    <n v="0.5042791361069856"/>
    <x v="1"/>
    <x v="2"/>
    <n v="114021"/>
  </r>
  <r>
    <s v="Николаев Кирилл Викторович"/>
    <n v="0.48953097749927038"/>
    <x v="1"/>
    <x v="2"/>
    <n v="129763"/>
  </r>
  <r>
    <s v="Степанова Ксения Ильинична"/>
    <n v="0.47572889853995759"/>
    <x v="1"/>
    <x v="2"/>
    <n v="137714"/>
  </r>
  <r>
    <s v="Попов Алексей Александрович"/>
    <n v="0.44981400112591391"/>
    <x v="1"/>
    <x v="2"/>
    <n v="128950"/>
  </r>
  <r>
    <s v="Никитина Софья Ильинична"/>
    <n v="0.38123670240030894"/>
    <x v="1"/>
    <x v="2"/>
    <n v="115369"/>
  </r>
  <r>
    <s v="Макарова Надежда Денисовна"/>
    <n v="3.2941115388712305E-2"/>
    <x v="2"/>
    <x v="0"/>
    <n v="91930"/>
  </r>
  <r>
    <s v="Макаров Андрей Игоревич"/>
    <n v="2.9778559716877786E-2"/>
    <x v="2"/>
    <x v="0"/>
    <n v="100642"/>
  </r>
  <r>
    <s v="Алексеева Ксения Алексеевна"/>
    <n v="2.9093525651791127E-2"/>
    <x v="2"/>
    <x v="0"/>
    <n v="96257"/>
  </r>
  <r>
    <s v="Борисов Вадим Артемович"/>
    <n v="2.8204743765437898E-2"/>
    <x v="2"/>
    <x v="0"/>
    <n v="87299"/>
  </r>
  <r>
    <s v="Павлов Вадим Борисович"/>
    <n v="2.7650777431587621E-2"/>
    <x v="2"/>
    <x v="0"/>
    <n v="103770"/>
  </r>
  <r>
    <s v="Волкова Анна Андреевна"/>
    <n v="2.7610012151728838E-2"/>
    <x v="2"/>
    <x v="0"/>
    <n v="107523"/>
  </r>
  <r>
    <s v="Иванов Сергей Кириллович"/>
    <n v="2.7350905435853341E-2"/>
    <x v="2"/>
    <x v="0"/>
    <n v="100201"/>
  </r>
  <r>
    <s v="Козлов Александр Викторович"/>
    <n v="2.6872180928793846E-2"/>
    <x v="2"/>
    <x v="0"/>
    <n v="101198"/>
  </r>
  <r>
    <s v="Орлова Екатерина Федоровна"/>
    <n v="2.6484988635065407E-2"/>
    <x v="2"/>
    <x v="0"/>
    <n v="94498"/>
  </r>
  <r>
    <s v="Тарасов Антон Борисович"/>
    <n v="2.546699854525606E-2"/>
    <x v="2"/>
    <x v="0"/>
    <n v="99971"/>
  </r>
  <r>
    <s v="Семенов Евгений Кириллович"/>
    <n v="2.474268028493376E-2"/>
    <x v="2"/>
    <x v="0"/>
    <n v="106212"/>
  </r>
  <r>
    <s v="Зайцев Павел Михайлович"/>
    <n v="2.2037527536286773E-2"/>
    <x v="2"/>
    <x v="0"/>
    <n v="108505"/>
  </r>
  <r>
    <s v="Попова Софья Николаевна"/>
    <n v="2.2036445573861148E-2"/>
    <x v="2"/>
    <x v="0"/>
    <n v="95815"/>
  </r>
  <r>
    <s v="Козлова Виктория Александровна"/>
    <n v="2.1235994127764123E-2"/>
    <x v="2"/>
    <x v="0"/>
    <n v="95041"/>
  </r>
  <r>
    <s v="Новиков Павел Романович"/>
    <n v="2.1226505251632933E-2"/>
    <x v="2"/>
    <x v="0"/>
    <n v="100474"/>
  </r>
  <r>
    <s v="Смирнов Иван Евгеньевич"/>
    <n v="2.1204564044347486E-2"/>
    <x v="2"/>
    <x v="0"/>
    <n v="105838"/>
  </r>
  <r>
    <s v="Новикова Елена Александровна"/>
    <n v="2.0654182233060817E-2"/>
    <x v="2"/>
    <x v="0"/>
    <n v="89504"/>
  </r>
  <r>
    <s v="Яковлева Татьяна Юрьевна"/>
    <n v="2.0648907862736664E-2"/>
    <x v="2"/>
    <x v="0"/>
    <n v="98235"/>
  </r>
  <r>
    <s v="Комарова Светлана Викторовна"/>
    <n v="1.1102511517157122E-2"/>
    <x v="2"/>
    <x v="0"/>
    <n v="94349"/>
  </r>
  <r>
    <s v="Васильев Илья Антонович"/>
    <n v="0.23900609490051242"/>
    <x v="2"/>
    <x v="1"/>
    <n v="52915"/>
  </r>
  <r>
    <s v="Соколов Андрей Алексеевич"/>
    <n v="0.19794505667117182"/>
    <x v="2"/>
    <x v="1"/>
    <n v="96079"/>
  </r>
  <r>
    <s v="Куликов Дмитрий Павлович"/>
    <n v="0.19446365374174909"/>
    <x v="2"/>
    <x v="1"/>
    <n v="108804"/>
  </r>
  <r>
    <s v="Иванова Дарья Антоновна"/>
    <n v="0.18482906978235297"/>
    <x v="2"/>
    <x v="1"/>
    <n v="96164"/>
  </r>
  <r>
    <s v="Степанов Михаил Олегович"/>
    <n v="0.18469389847467005"/>
    <x v="2"/>
    <x v="1"/>
    <n v="101968"/>
  </r>
  <r>
    <s v="Волкова Юлия Федоровна"/>
    <n v="0.17349063064796283"/>
    <x v="2"/>
    <x v="1"/>
    <n v="100294"/>
  </r>
  <r>
    <s v="Морозова Екатерина Ивановна"/>
    <n v="0.1532180839333295"/>
    <x v="2"/>
    <x v="1"/>
    <n v="96508"/>
  </r>
  <r>
    <s v="Алексеев Илья Дмитриевич"/>
    <n v="0.14634303983779029"/>
    <x v="2"/>
    <x v="1"/>
    <n v="108060"/>
  </r>
  <r>
    <s v="Куликова Людмила Викторовна"/>
    <n v="0.13148656850667953"/>
    <x v="2"/>
    <x v="1"/>
    <n v="103915"/>
  </r>
  <r>
    <s v="Кузнецов Владимир Евгеньевич"/>
    <n v="0.12690878166842021"/>
    <x v="2"/>
    <x v="1"/>
    <n v="90247"/>
  </r>
  <r>
    <s v="Егорова Надежда Максимовна"/>
    <n v="0.11469241465138119"/>
    <x v="2"/>
    <x v="1"/>
    <n v="102822"/>
  </r>
  <r>
    <s v="Соколова Ирина Викторовна"/>
    <n v="0.72242456374392694"/>
    <x v="2"/>
    <x v="2"/>
    <n v="105501"/>
  </r>
  <r>
    <s v="Петров Борис Николаевич"/>
    <n v="0.71541086036393409"/>
    <x v="2"/>
    <x v="2"/>
    <n v="97317"/>
  </r>
  <r>
    <s v="Борисова Анастасия Александровна"/>
    <n v="0.69454357623973528"/>
    <x v="2"/>
    <x v="2"/>
    <n v="101723"/>
  </r>
  <r>
    <s v="Тарасова Полина Викторовна"/>
    <n v="0.68979768796904084"/>
    <x v="2"/>
    <x v="2"/>
    <n v="92219"/>
  </r>
  <r>
    <s v="Куликов Артем Максимович"/>
    <n v="0.67688941260990532"/>
    <x v="2"/>
    <x v="2"/>
    <n v="103042"/>
  </r>
  <r>
    <s v="Егорова Елена Сергеевна"/>
    <n v="0.65344574272243494"/>
    <x v="2"/>
    <x v="2"/>
    <n v="107732"/>
  </r>
  <r>
    <s v="Смирнов Игорь Евгеньевич"/>
    <n v="0.62167888534837767"/>
    <x v="2"/>
    <x v="2"/>
    <n v="78690"/>
  </r>
  <r>
    <s v="Андреев Владимир Денисович"/>
    <n v="0.6201303438098501"/>
    <x v="2"/>
    <x v="2"/>
    <n v="89558"/>
  </r>
  <r>
    <s v="Алексеева Полина Евгеньевна"/>
    <n v="0.59705468684361784"/>
    <x v="2"/>
    <x v="2"/>
    <n v="91763"/>
  </r>
  <r>
    <s v="Соловьева Ксения Олеговна"/>
    <n v="0.58063501853697619"/>
    <x v="2"/>
    <x v="2"/>
    <n v="107055"/>
  </r>
  <r>
    <s v="Сидорова Полина Михайловна"/>
    <n v="0.55444963200539665"/>
    <x v="2"/>
    <x v="2"/>
    <n v="97904"/>
  </r>
  <r>
    <s v="Егоров Иван Максимович"/>
    <n v="0.36501021011771706"/>
    <x v="2"/>
    <x v="2"/>
    <n v="73356"/>
  </r>
  <r>
    <s v="Смирнов Михаил Николаевич"/>
    <n v="0.29539279770304039"/>
    <x v="2"/>
    <x v="2"/>
    <n v="648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0CCE7F-59F6-443C-8B74-580E338BFC24}" name="Сводная таблица1" cacheId="7" applyNumberFormats="0" applyBorderFormats="0" applyFontFormats="0" applyPatternFormats="0" applyAlignmentFormats="0" applyWidthHeightFormats="1" dataCaption="Значения" updatedVersion="8" minRefreshableVersion="3" rowGrandTotals="0" colGrandTotals="0" itemPrintTitles="1" createdVersion="8" indent="0" outline="1" outlineData="1" multipleFieldFilters="0">
  <location ref="A22:C42" firstHeaderRow="0" firstDataRow="1" firstDataCol="1"/>
  <pivotFields count="7">
    <pivotField axis="axisRow" showAll="0" sortType="descending">
      <items count="21">
        <item x="8"/>
        <item x="12"/>
        <item x="18"/>
        <item x="5"/>
        <item x="9"/>
        <item x="0"/>
        <item x="15"/>
        <item x="19"/>
        <item x="6"/>
        <item x="1"/>
        <item x="10"/>
        <item x="11"/>
        <item x="16"/>
        <item x="7"/>
        <item x="13"/>
        <item x="14"/>
        <item x="2"/>
        <item x="17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>
      <items count="2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t="default"/>
      </items>
    </pivotField>
    <pivotField dataField="1" numFmtId="3" showAll="0"/>
    <pivotField dataField="1"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20">
    <i>
      <x v="19"/>
    </i>
    <i>
      <x v="18"/>
    </i>
    <i>
      <x v="3"/>
    </i>
    <i>
      <x v="16"/>
    </i>
    <i>
      <x v="13"/>
    </i>
    <i>
      <x v="10"/>
    </i>
    <i>
      <x v="5"/>
    </i>
    <i>
      <x v="8"/>
    </i>
    <i>
      <x v="1"/>
    </i>
    <i>
      <x v="15"/>
    </i>
    <i>
      <x v="6"/>
    </i>
    <i>
      <x v="9"/>
    </i>
    <i>
      <x v="4"/>
    </i>
    <i>
      <x v="11"/>
    </i>
    <i>
      <x/>
    </i>
    <i>
      <x v="14"/>
    </i>
    <i>
      <x v="12"/>
    </i>
    <i>
      <x v="17"/>
    </i>
    <i>
      <x v="2"/>
    </i>
    <i>
      <x v="7"/>
    </i>
  </rowItems>
  <colFields count="1">
    <field x="-2"/>
  </colFields>
  <colItems count="2">
    <i>
      <x/>
    </i>
    <i i="1">
      <x v="1"/>
    </i>
  </colItems>
  <dataFields count="2">
    <dataField name="Сумма по полю Сумма сделки" fld="3" baseField="0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  <dataField name="Номер" fld="4" showDataAs="runTotal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449701-90E5-4569-9DB9-D7E715E9521A}" name="Сводная таблица1" cacheId="7" applyNumberFormats="0" applyBorderFormats="0" applyFontFormats="0" applyPatternFormats="0" applyAlignmentFormats="0" applyWidthHeightFormats="1" dataCaption="Значения" updatedVersion="8" minRefreshableVersion="3" rowGrandTotals="0" colGrandTotals="0" itemPrintTitles="1" createdVersion="8" indent="0" outline="1" outlineData="1" multipleFieldFilters="0">
  <location ref="A22:C42" firstHeaderRow="0" firstDataRow="1" firstDataCol="1"/>
  <pivotFields count="7">
    <pivotField axis="axisRow" dataField="1" showAll="0" sortType="descending">
      <items count="21">
        <item x="8"/>
        <item x="12"/>
        <item x="18"/>
        <item x="5"/>
        <item x="9"/>
        <item x="0"/>
        <item x="15"/>
        <item x="19"/>
        <item x="6"/>
        <item x="1"/>
        <item x="10"/>
        <item x="11"/>
        <item x="16"/>
        <item x="7"/>
        <item x="13"/>
        <item x="14"/>
        <item x="2"/>
        <item x="17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>
      <items count="2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t="default"/>
      </items>
    </pivotField>
    <pivotField numFmtId="3" showAll="0"/>
    <pivotField dataField="1" dragToRow="0" dragToCol="0" dragToPage="0" showAll="0" defaultSubtota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20">
    <i>
      <x v="19"/>
    </i>
    <i>
      <x v="18"/>
    </i>
    <i>
      <x v="3"/>
    </i>
    <i>
      <x v="16"/>
    </i>
    <i>
      <x v="13"/>
    </i>
    <i>
      <x v="10"/>
    </i>
    <i>
      <x v="5"/>
    </i>
    <i>
      <x v="8"/>
    </i>
    <i>
      <x v="1"/>
    </i>
    <i>
      <x v="15"/>
    </i>
    <i>
      <x v="6"/>
    </i>
    <i>
      <x v="9"/>
    </i>
    <i>
      <x v="4"/>
    </i>
    <i>
      <x v="11"/>
    </i>
    <i>
      <x v="14"/>
    </i>
    <i>
      <x/>
    </i>
    <i>
      <x v="12"/>
    </i>
    <i>
      <x v="7"/>
    </i>
    <i>
      <x v="17"/>
    </i>
    <i>
      <x v="2"/>
    </i>
  </rowItems>
  <colFields count="1">
    <field x="-2"/>
  </colFields>
  <colItems count="2">
    <i>
      <x/>
    </i>
    <i i="1">
      <x v="1"/>
    </i>
  </colItems>
  <dataFields count="2">
    <dataField name="Количество по полю ФИО менеджера" fld="0" subtotal="count" baseField="0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  <dataField name="Номер" fld="4" showDataAs="runTotal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88A984-E122-4BFD-90A8-DA3A704C20EF}" name="Сводная таблица6" cacheId="34" applyNumberFormats="0" applyBorderFormats="0" applyFontFormats="0" applyPatternFormats="0" applyAlignmentFormats="0" applyWidthHeightFormats="1" dataCaption="Значения" updatedVersion="8" minRefreshableVersion="3" rowGrandTotals="0" colGrandTotals="0" itemPrintTitles="1" createdVersion="8" indent="0" outline="1" outlineData="1" multipleFieldFilters="0">
  <location ref="AD1:AG5" firstHeaderRow="1" firstDataRow="2" firstDataCol="1"/>
  <pivotFields count="5">
    <pivotField showAll="0"/>
    <pivotField numFmtId="165" showAll="0"/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</pivotFields>
  <rowFields count="1">
    <field x="2"/>
  </rowFields>
  <rowItems count="3">
    <i>
      <x/>
    </i>
    <i>
      <x v="1"/>
    </i>
    <i>
      <x v="2"/>
    </i>
  </rowItems>
  <colFields count="1">
    <field x="3"/>
  </colFields>
  <colItems count="3">
    <i>
      <x/>
    </i>
    <i>
      <x v="1"/>
    </i>
    <i>
      <x v="2"/>
    </i>
  </colItems>
  <dataFields count="1">
    <dataField name="Сумма по полю Сумма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73F9B7-A84B-4CC2-924A-B3299B83AF89}" name="Сводная таблица2" cacheId="7" applyNumberFormats="0" applyBorderFormats="0" applyFontFormats="0" applyPatternFormats="0" applyAlignmentFormats="0" applyWidthHeightFormats="1" dataCaption="Значения" updatedVersion="8" minRefreshableVersion="3" rowGrandTotals="0" colGrandTotals="0" itemPrintTitles="1" createdVersion="8" indent="0" outline="1" outlineData="1" multipleFieldFilters="0">
  <location ref="A1:B238" firstHeaderRow="1" firstDataRow="1" firstDataCol="1"/>
  <pivotFields count="7">
    <pivotField showAll="0"/>
    <pivotField axis="axisRow" showAll="0">
      <items count="238">
        <item x="171"/>
        <item x="68"/>
        <item x="204"/>
        <item x="142"/>
        <item x="100"/>
        <item x="39"/>
        <item x="4"/>
        <item x="75"/>
        <item x="217"/>
        <item x="225"/>
        <item x="95"/>
        <item x="28"/>
        <item x="57"/>
        <item x="233"/>
        <item x="7"/>
        <item x="88"/>
        <item x="214"/>
        <item x="150"/>
        <item x="174"/>
        <item x="2"/>
        <item x="212"/>
        <item x="56"/>
        <item x="123"/>
        <item x="149"/>
        <item x="91"/>
        <item x="167"/>
        <item x="33"/>
        <item x="23"/>
        <item x="8"/>
        <item x="25"/>
        <item x="209"/>
        <item x="82"/>
        <item x="165"/>
        <item x="127"/>
        <item x="221"/>
        <item x="211"/>
        <item x="76"/>
        <item x="97"/>
        <item x="69"/>
        <item x="18"/>
        <item x="48"/>
        <item x="41"/>
        <item x="122"/>
        <item x="153"/>
        <item x="202"/>
        <item x="26"/>
        <item x="52"/>
        <item x="34"/>
        <item x="86"/>
        <item x="207"/>
        <item x="107"/>
        <item x="180"/>
        <item x="94"/>
        <item x="154"/>
        <item x="79"/>
        <item x="45"/>
        <item x="78"/>
        <item x="13"/>
        <item x="90"/>
        <item x="198"/>
        <item x="43"/>
        <item x="146"/>
        <item x="35"/>
        <item x="138"/>
        <item x="170"/>
        <item x="158"/>
        <item x="147"/>
        <item x="115"/>
        <item x="124"/>
        <item x="227"/>
        <item x="62"/>
        <item x="155"/>
        <item x="228"/>
        <item x="67"/>
        <item x="117"/>
        <item x="144"/>
        <item x="176"/>
        <item x="101"/>
        <item x="31"/>
        <item x="22"/>
        <item x="219"/>
        <item x="182"/>
        <item x="64"/>
        <item x="81"/>
        <item x="223"/>
        <item x="93"/>
        <item x="169"/>
        <item x="98"/>
        <item x="232"/>
        <item x="16"/>
        <item x="162"/>
        <item x="96"/>
        <item x="210"/>
        <item x="192"/>
        <item x="129"/>
        <item x="163"/>
        <item x="116"/>
        <item x="229"/>
        <item x="215"/>
        <item x="19"/>
        <item x="83"/>
        <item x="40"/>
        <item x="118"/>
        <item x="47"/>
        <item x="24"/>
        <item x="5"/>
        <item x="218"/>
        <item x="234"/>
        <item x="92"/>
        <item x="151"/>
        <item x="191"/>
        <item x="106"/>
        <item x="173"/>
        <item x="125"/>
        <item x="58"/>
        <item x="53"/>
        <item x="70"/>
        <item x="231"/>
        <item x="102"/>
        <item x="72"/>
        <item x="80"/>
        <item x="29"/>
        <item x="203"/>
        <item x="104"/>
        <item x="49"/>
        <item x="199"/>
        <item x="126"/>
        <item x="156"/>
        <item x="32"/>
        <item x="85"/>
        <item x="157"/>
        <item x="187"/>
        <item x="54"/>
        <item x="110"/>
        <item x="177"/>
        <item x="205"/>
        <item x="128"/>
        <item x="189"/>
        <item x="235"/>
        <item x="77"/>
        <item x="61"/>
        <item x="185"/>
        <item x="133"/>
        <item x="181"/>
        <item x="60"/>
        <item x="230"/>
        <item x="36"/>
        <item x="50"/>
        <item x="42"/>
        <item x="103"/>
        <item x="38"/>
        <item x="140"/>
        <item x="206"/>
        <item x="27"/>
        <item x="175"/>
        <item x="184"/>
        <item x="141"/>
        <item x="188"/>
        <item x="21"/>
        <item x="108"/>
        <item x="14"/>
        <item x="194"/>
        <item x="84"/>
        <item x="161"/>
        <item x="30"/>
        <item x="131"/>
        <item x="186"/>
        <item x="224"/>
        <item x="132"/>
        <item x="109"/>
        <item x="197"/>
        <item x="65"/>
        <item x="178"/>
        <item x="46"/>
        <item x="59"/>
        <item x="226"/>
        <item x="63"/>
        <item x="134"/>
        <item x="222"/>
        <item x="168"/>
        <item x="216"/>
        <item x="220"/>
        <item x="143"/>
        <item x="9"/>
        <item x="148"/>
        <item x="200"/>
        <item x="114"/>
        <item x="213"/>
        <item x="112"/>
        <item x="17"/>
        <item x="51"/>
        <item x="164"/>
        <item x="201"/>
        <item x="236"/>
        <item x="73"/>
        <item x="71"/>
        <item x="135"/>
        <item x="0"/>
        <item x="159"/>
        <item x="111"/>
        <item x="137"/>
        <item x="89"/>
        <item x="37"/>
        <item x="119"/>
        <item x="3"/>
        <item x="208"/>
        <item x="44"/>
        <item x="105"/>
        <item x="10"/>
        <item x="172"/>
        <item x="196"/>
        <item x="145"/>
        <item x="120"/>
        <item x="179"/>
        <item x="20"/>
        <item x="195"/>
        <item x="152"/>
        <item x="113"/>
        <item x="1"/>
        <item x="11"/>
        <item x="55"/>
        <item x="190"/>
        <item x="160"/>
        <item x="130"/>
        <item x="74"/>
        <item x="87"/>
        <item x="193"/>
        <item x="183"/>
        <item x="136"/>
        <item x="15"/>
        <item x="121"/>
        <item x="6"/>
        <item x="166"/>
        <item x="139"/>
        <item x="12"/>
        <item x="66"/>
        <item x="99"/>
        <item t="default"/>
      </items>
    </pivotField>
    <pivotField numFmtId="164" showAll="0">
      <items count="2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t="default"/>
      </items>
    </pivotField>
    <pivotField dataField="1" numFmtId="3" showAll="0"/>
    <pivotField dragToRow="0" dragToCol="0" dragToPage="0" showAll="0" defaultSubtota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2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</rowItems>
  <colItems count="1">
    <i/>
  </colItems>
  <dataFields count="1">
    <dataField name="Сумма по полю Сумма сделки" fld="3" baseField="0" baseItem="0"/>
  </dataFields>
  <formats count="2">
    <format dxfId="16">
      <pivotArea dataOnly="0" fieldPosition="0">
        <references count="1">
          <reference field="1" count="1">
            <x v="44"/>
          </reference>
        </references>
      </pivotArea>
    </format>
    <format dxfId="17">
      <pivotArea dataOnly="0" labelOnly="1" fieldPosition="0">
        <references count="1">
          <reference field="1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110BE-5875-460B-9453-C15EE151204D}">
  <dimension ref="A1:M42"/>
  <sheetViews>
    <sheetView workbookViewId="0">
      <selection activeCell="G13" sqref="G13"/>
    </sheetView>
  </sheetViews>
  <sheetFormatPr defaultRowHeight="14.5"/>
  <cols>
    <col min="1" max="1" width="27.90625" bestFit="1" customWidth="1"/>
    <col min="2" max="2" width="17" customWidth="1"/>
  </cols>
  <sheetData>
    <row r="1" spans="7:13" ht="16.5">
      <c r="G1" t="s">
        <v>21</v>
      </c>
      <c r="H1" t="s">
        <v>300</v>
      </c>
      <c r="J1" t="s">
        <v>302</v>
      </c>
      <c r="K1" t="s">
        <v>303</v>
      </c>
      <c r="M1" t="s">
        <v>308</v>
      </c>
    </row>
    <row r="2" spans="7:13">
      <c r="G2" s="21">
        <v>0</v>
      </c>
      <c r="H2" s="21">
        <v>0</v>
      </c>
      <c r="J2" s="22">
        <v>0.2</v>
      </c>
      <c r="K2" s="14">
        <v>0.84337528449254129</v>
      </c>
    </row>
    <row r="3" spans="7:13">
      <c r="G3" s="21">
        <v>1</v>
      </c>
      <c r="H3" s="21">
        <v>1</v>
      </c>
      <c r="J3" s="14">
        <v>0.2</v>
      </c>
      <c r="K3" s="21">
        <v>0</v>
      </c>
    </row>
    <row r="5" spans="7:13" ht="16.5">
      <c r="G5" t="s">
        <v>21</v>
      </c>
      <c r="H5" t="s">
        <v>304</v>
      </c>
      <c r="J5" t="s">
        <v>306</v>
      </c>
      <c r="K5" t="s">
        <v>307</v>
      </c>
    </row>
    <row r="6" spans="7:13">
      <c r="G6" s="22">
        <v>0.2</v>
      </c>
      <c r="H6" s="14">
        <v>0.84337528449254129</v>
      </c>
      <c r="J6" s="23">
        <v>0.5</v>
      </c>
      <c r="K6" s="23">
        <v>0.96076269309786411</v>
      </c>
    </row>
    <row r="7" spans="7:13">
      <c r="G7" s="21">
        <v>1</v>
      </c>
      <c r="H7" s="21">
        <v>1</v>
      </c>
      <c r="J7" s="22">
        <f>J6</f>
        <v>0.5</v>
      </c>
      <c r="K7" s="21">
        <v>0</v>
      </c>
    </row>
    <row r="21" spans="1:10">
      <c r="D21" t="s">
        <v>297</v>
      </c>
      <c r="E21" t="s">
        <v>299</v>
      </c>
    </row>
    <row r="22" spans="1:10" ht="16.5">
      <c r="A22" s="11" t="s">
        <v>294</v>
      </c>
      <c r="B22" t="s">
        <v>295</v>
      </c>
      <c r="C22" t="s">
        <v>296</v>
      </c>
      <c r="D22" t="s">
        <v>21</v>
      </c>
      <c r="E22" t="s">
        <v>298</v>
      </c>
      <c r="F22" t="s">
        <v>300</v>
      </c>
      <c r="G22" t="s">
        <v>301</v>
      </c>
      <c r="H22" t="s">
        <v>304</v>
      </c>
      <c r="I22" t="s">
        <v>305</v>
      </c>
      <c r="J22" t="s">
        <v>17</v>
      </c>
    </row>
    <row r="23" spans="1:10">
      <c r="A23" s="12" t="s">
        <v>5</v>
      </c>
      <c r="B23" s="14">
        <v>0.4869135736203874</v>
      </c>
      <c r="C23" s="13">
        <v>1</v>
      </c>
      <c r="D23" s="15">
        <f>C23/MAX(C:C)</f>
        <v>0.05</v>
      </c>
      <c r="E23" s="18">
        <f>B23</f>
        <v>0.4869135736203874</v>
      </c>
      <c r="F23" s="22">
        <f>D23</f>
        <v>0.05</v>
      </c>
      <c r="G23" s="14">
        <f>E23-F23</f>
        <v>0.43691357362038741</v>
      </c>
      <c r="H23" s="24">
        <f>0.1958*D23+0.8042</f>
        <v>0.81398999999999999</v>
      </c>
      <c r="I23" s="14">
        <f>E23-H23</f>
        <v>-0.32707642637961259</v>
      </c>
      <c r="J23" t="s">
        <v>13</v>
      </c>
    </row>
    <row r="24" spans="1:10">
      <c r="A24" s="12" t="s">
        <v>9</v>
      </c>
      <c r="B24" s="14">
        <v>0.67919953261133692</v>
      </c>
      <c r="C24" s="13">
        <v>2</v>
      </c>
      <c r="D24" s="15">
        <f t="shared" ref="D24:D42" si="0">C24/MAX(C:C)</f>
        <v>0.1</v>
      </c>
      <c r="E24" s="18">
        <f t="shared" ref="E24:E42" si="1">B24</f>
        <v>0.67919953261133692</v>
      </c>
      <c r="F24" s="22">
        <f t="shared" ref="F24:F42" si="2">D24</f>
        <v>0.1</v>
      </c>
      <c r="G24" s="14">
        <f t="shared" ref="G24:G42" si="3">E24-F24</f>
        <v>0.57919953261133694</v>
      </c>
      <c r="H24" s="24">
        <f t="shared" ref="H24:H42" si="4">0.1958*D24+0.8042</f>
        <v>0.82378000000000007</v>
      </c>
      <c r="I24" s="14">
        <f t="shared" ref="I24:I42" si="5">E24-H24</f>
        <v>-0.14458046738866315</v>
      </c>
      <c r="J24" t="s">
        <v>13</v>
      </c>
    </row>
    <row r="25" spans="1:10">
      <c r="A25" s="12" t="s">
        <v>4</v>
      </c>
      <c r="B25" s="14">
        <v>0.78511603840305344</v>
      </c>
      <c r="C25" s="13">
        <v>3</v>
      </c>
      <c r="D25" s="15">
        <f t="shared" si="0"/>
        <v>0.15</v>
      </c>
      <c r="E25" s="18">
        <f t="shared" si="1"/>
        <v>0.78511603840305344</v>
      </c>
      <c r="F25" s="22">
        <f t="shared" si="2"/>
        <v>0.15</v>
      </c>
      <c r="G25" s="14">
        <f t="shared" si="3"/>
        <v>0.63511603840305342</v>
      </c>
      <c r="H25" s="24">
        <f t="shared" si="4"/>
        <v>0.83357000000000003</v>
      </c>
      <c r="I25" s="14">
        <f t="shared" si="5"/>
        <v>-4.8453961596946593E-2</v>
      </c>
      <c r="J25" t="s">
        <v>13</v>
      </c>
    </row>
    <row r="26" spans="1:10">
      <c r="A26" s="12" t="s">
        <v>7</v>
      </c>
      <c r="B26" s="14">
        <v>0.84337528449254129</v>
      </c>
      <c r="C26" s="13">
        <v>4</v>
      </c>
      <c r="D26" s="15">
        <f t="shared" si="0"/>
        <v>0.2</v>
      </c>
      <c r="E26" s="19">
        <f t="shared" si="1"/>
        <v>0.84337528449254129</v>
      </c>
      <c r="F26" s="22">
        <f t="shared" si="2"/>
        <v>0.2</v>
      </c>
      <c r="G26" s="14">
        <f t="shared" si="3"/>
        <v>0.64337528449254133</v>
      </c>
      <c r="H26" s="24">
        <f t="shared" si="4"/>
        <v>0.84336</v>
      </c>
      <c r="I26" s="14">
        <f t="shared" si="5"/>
        <v>1.5284492541289829E-5</v>
      </c>
      <c r="J26" t="s">
        <v>13</v>
      </c>
    </row>
    <row r="27" spans="1:10">
      <c r="A27" s="12" t="s">
        <v>6</v>
      </c>
      <c r="B27" s="14">
        <v>0.87932818484962472</v>
      </c>
      <c r="C27" s="13">
        <v>5</v>
      </c>
      <c r="D27" s="16">
        <f t="shared" si="0"/>
        <v>0.25</v>
      </c>
      <c r="E27" s="19">
        <f t="shared" si="1"/>
        <v>0.87932818484962472</v>
      </c>
      <c r="F27" s="22">
        <f t="shared" si="2"/>
        <v>0.25</v>
      </c>
      <c r="G27" s="14">
        <f t="shared" si="3"/>
        <v>0.62932818484962472</v>
      </c>
      <c r="H27" s="24">
        <f t="shared" si="4"/>
        <v>0.85315000000000007</v>
      </c>
      <c r="I27" s="14">
        <f t="shared" si="5"/>
        <v>2.6178184849624642E-2</v>
      </c>
      <c r="J27" t="s">
        <v>14</v>
      </c>
    </row>
    <row r="28" spans="1:10">
      <c r="A28" s="12" t="s">
        <v>8</v>
      </c>
      <c r="B28" s="14">
        <v>0.90468106430942463</v>
      </c>
      <c r="C28" s="13">
        <v>6</v>
      </c>
      <c r="D28" s="16">
        <f t="shared" si="0"/>
        <v>0.3</v>
      </c>
      <c r="E28" s="19">
        <f t="shared" si="1"/>
        <v>0.90468106430942463</v>
      </c>
      <c r="F28" s="22">
        <f t="shared" si="2"/>
        <v>0.3</v>
      </c>
      <c r="G28" s="14">
        <f t="shared" si="3"/>
        <v>0.6046810643094247</v>
      </c>
      <c r="H28" s="24">
        <f t="shared" si="4"/>
        <v>0.86294000000000004</v>
      </c>
      <c r="I28" s="14">
        <f t="shared" si="5"/>
        <v>4.1741064309424591E-2</v>
      </c>
      <c r="J28" t="s">
        <v>14</v>
      </c>
    </row>
    <row r="29" spans="1:10">
      <c r="A29" s="12" t="s">
        <v>25</v>
      </c>
      <c r="B29" s="14">
        <v>0.92303698144611435</v>
      </c>
      <c r="C29" s="13">
        <v>7</v>
      </c>
      <c r="D29" s="16">
        <f t="shared" si="0"/>
        <v>0.35</v>
      </c>
      <c r="E29" s="19">
        <f t="shared" si="1"/>
        <v>0.92303698144611435</v>
      </c>
      <c r="F29" s="22">
        <f t="shared" si="2"/>
        <v>0.35</v>
      </c>
      <c r="G29" s="14">
        <f t="shared" si="3"/>
        <v>0.57303698144611437</v>
      </c>
      <c r="H29" s="24">
        <f t="shared" si="4"/>
        <v>0.87273000000000001</v>
      </c>
      <c r="I29" s="14">
        <f t="shared" si="5"/>
        <v>5.0306981446114341E-2</v>
      </c>
      <c r="J29" t="s">
        <v>14</v>
      </c>
    </row>
    <row r="30" spans="1:10">
      <c r="A30" s="12" t="s">
        <v>26</v>
      </c>
      <c r="B30" s="14">
        <v>0.93959613742880621</v>
      </c>
      <c r="C30" s="13">
        <v>8</v>
      </c>
      <c r="D30" s="16">
        <f t="shared" si="0"/>
        <v>0.4</v>
      </c>
      <c r="E30" s="19">
        <f t="shared" si="1"/>
        <v>0.93959613742880621</v>
      </c>
      <c r="F30" s="22">
        <f t="shared" si="2"/>
        <v>0.4</v>
      </c>
      <c r="G30" s="14">
        <f t="shared" si="3"/>
        <v>0.53959613742880619</v>
      </c>
      <c r="H30" s="24">
        <f t="shared" si="4"/>
        <v>0.88251999999999997</v>
      </c>
      <c r="I30" s="14">
        <f t="shared" si="5"/>
        <v>5.707613742880624E-2</v>
      </c>
      <c r="J30" t="s">
        <v>14</v>
      </c>
    </row>
    <row r="31" spans="1:10">
      <c r="A31" s="12" t="s">
        <v>27</v>
      </c>
      <c r="B31" s="14">
        <v>0.9504905571795248</v>
      </c>
      <c r="C31" s="13">
        <v>9</v>
      </c>
      <c r="D31" s="16">
        <f t="shared" si="0"/>
        <v>0.45</v>
      </c>
      <c r="E31" s="20">
        <f t="shared" si="1"/>
        <v>0.9504905571795248</v>
      </c>
      <c r="F31" s="22">
        <f t="shared" si="2"/>
        <v>0.45</v>
      </c>
      <c r="G31" s="14">
        <f t="shared" si="3"/>
        <v>0.50049055717952484</v>
      </c>
      <c r="H31" s="24">
        <f t="shared" si="4"/>
        <v>0.89231000000000005</v>
      </c>
      <c r="I31" s="14">
        <f t="shared" si="5"/>
        <v>5.818055717952475E-2</v>
      </c>
      <c r="J31" t="s">
        <v>14</v>
      </c>
    </row>
    <row r="32" spans="1:10">
      <c r="A32" s="12" t="s">
        <v>29</v>
      </c>
      <c r="B32" s="14">
        <v>0.96076269309786411</v>
      </c>
      <c r="C32" s="13">
        <v>10</v>
      </c>
      <c r="D32" s="16">
        <f t="shared" si="0"/>
        <v>0.5</v>
      </c>
      <c r="E32" s="20">
        <f t="shared" si="1"/>
        <v>0.96076269309786411</v>
      </c>
      <c r="F32" s="22">
        <f t="shared" si="2"/>
        <v>0.5</v>
      </c>
      <c r="G32" s="14">
        <f t="shared" si="3"/>
        <v>0.46076269309786411</v>
      </c>
      <c r="H32" s="24">
        <f t="shared" si="4"/>
        <v>0.90210000000000001</v>
      </c>
      <c r="I32" s="14">
        <f t="shared" si="5"/>
        <v>5.8662693097864094E-2</v>
      </c>
      <c r="J32" t="s">
        <v>15</v>
      </c>
    </row>
    <row r="33" spans="1:10">
      <c r="A33" s="12" t="s">
        <v>28</v>
      </c>
      <c r="B33" s="14">
        <v>0.96953440794030776</v>
      </c>
      <c r="C33" s="13">
        <v>11</v>
      </c>
      <c r="D33" s="17">
        <f t="shared" si="0"/>
        <v>0.55000000000000004</v>
      </c>
      <c r="E33" s="20">
        <f t="shared" si="1"/>
        <v>0.96953440794030776</v>
      </c>
      <c r="F33" s="22">
        <f t="shared" si="2"/>
        <v>0.55000000000000004</v>
      </c>
      <c r="G33" s="14">
        <f t="shared" si="3"/>
        <v>0.41953440794030772</v>
      </c>
      <c r="H33" s="24">
        <f t="shared" si="4"/>
        <v>0.91189000000000009</v>
      </c>
      <c r="I33" s="14">
        <f t="shared" si="5"/>
        <v>5.7644407940307674E-2</v>
      </c>
      <c r="J33" t="s">
        <v>15</v>
      </c>
    </row>
    <row r="34" spans="1:10">
      <c r="A34" s="12" t="s">
        <v>30</v>
      </c>
      <c r="B34" s="14">
        <v>0.97720021922250166</v>
      </c>
      <c r="C34" s="13">
        <v>12</v>
      </c>
      <c r="D34" s="17">
        <f t="shared" si="0"/>
        <v>0.6</v>
      </c>
      <c r="E34" s="20">
        <f t="shared" si="1"/>
        <v>0.97720021922250166</v>
      </c>
      <c r="F34" s="22">
        <f t="shared" si="2"/>
        <v>0.6</v>
      </c>
      <c r="G34" s="14">
        <f t="shared" si="3"/>
        <v>0.37720021922250169</v>
      </c>
      <c r="H34" s="24">
        <f t="shared" si="4"/>
        <v>0.92168000000000005</v>
      </c>
      <c r="I34" s="14">
        <f t="shared" si="5"/>
        <v>5.552021922250161E-2</v>
      </c>
      <c r="J34" t="s">
        <v>15</v>
      </c>
    </row>
    <row r="35" spans="1:10">
      <c r="A35" s="12" t="s">
        <v>31</v>
      </c>
      <c r="B35" s="14">
        <v>0.98272189932915643</v>
      </c>
      <c r="C35" s="13">
        <v>13</v>
      </c>
      <c r="D35" s="17">
        <f t="shared" si="0"/>
        <v>0.65</v>
      </c>
      <c r="E35" s="20">
        <f t="shared" si="1"/>
        <v>0.98272189932915643</v>
      </c>
      <c r="F35" s="22">
        <f t="shared" si="2"/>
        <v>0.65</v>
      </c>
      <c r="G35" s="14">
        <f t="shared" si="3"/>
        <v>0.33272189932915641</v>
      </c>
      <c r="H35" s="24">
        <f t="shared" si="4"/>
        <v>0.93147000000000002</v>
      </c>
      <c r="I35" s="14">
        <f t="shared" si="5"/>
        <v>5.1251899329156414E-2</v>
      </c>
      <c r="J35" t="s">
        <v>15</v>
      </c>
    </row>
    <row r="36" spans="1:10">
      <c r="A36" s="12" t="s">
        <v>32</v>
      </c>
      <c r="B36" s="14">
        <v>0.98747128746727397</v>
      </c>
      <c r="C36" s="13">
        <v>14</v>
      </c>
      <c r="D36" s="17">
        <f t="shared" si="0"/>
        <v>0.7</v>
      </c>
      <c r="E36" s="20">
        <f t="shared" si="1"/>
        <v>0.98747128746727397</v>
      </c>
      <c r="F36" s="22">
        <f t="shared" si="2"/>
        <v>0.7</v>
      </c>
      <c r="G36" s="14">
        <f t="shared" si="3"/>
        <v>0.28747128746727402</v>
      </c>
      <c r="H36" s="24">
        <f t="shared" si="4"/>
        <v>0.94125999999999999</v>
      </c>
      <c r="I36" s="14">
        <f t="shared" si="5"/>
        <v>4.6211287467273987E-2</v>
      </c>
      <c r="J36" t="s">
        <v>15</v>
      </c>
    </row>
    <row r="37" spans="1:10">
      <c r="A37" s="12" t="s">
        <v>35</v>
      </c>
      <c r="B37" s="14">
        <v>0.99091764068018762</v>
      </c>
      <c r="C37" s="13">
        <v>15</v>
      </c>
      <c r="D37" s="17">
        <f t="shared" si="0"/>
        <v>0.75</v>
      </c>
      <c r="E37" s="20">
        <f t="shared" si="1"/>
        <v>0.99091764068018762</v>
      </c>
      <c r="F37" s="22">
        <f t="shared" si="2"/>
        <v>0.75</v>
      </c>
      <c r="G37" s="14">
        <f t="shared" si="3"/>
        <v>0.24091764068018762</v>
      </c>
      <c r="H37" s="24">
        <f t="shared" si="4"/>
        <v>0.95105000000000006</v>
      </c>
      <c r="I37" s="14">
        <f t="shared" si="5"/>
        <v>3.9867640680187555E-2</v>
      </c>
      <c r="J37" t="s">
        <v>15</v>
      </c>
    </row>
    <row r="38" spans="1:10">
      <c r="A38" s="12" t="s">
        <v>33</v>
      </c>
      <c r="B38" s="14">
        <v>0.99406087166131807</v>
      </c>
      <c r="C38" s="13">
        <v>16</v>
      </c>
      <c r="D38" s="17">
        <f t="shared" si="0"/>
        <v>0.8</v>
      </c>
      <c r="E38" s="20">
        <f t="shared" si="1"/>
        <v>0.99406087166131807</v>
      </c>
      <c r="F38" s="22">
        <f t="shared" si="2"/>
        <v>0.8</v>
      </c>
      <c r="G38" s="14">
        <f t="shared" si="3"/>
        <v>0.19406087166131802</v>
      </c>
      <c r="H38" s="24">
        <f t="shared" si="4"/>
        <v>0.96084000000000003</v>
      </c>
      <c r="I38" s="14">
        <f t="shared" si="5"/>
        <v>3.3220871661318041E-2</v>
      </c>
      <c r="J38" t="s">
        <v>15</v>
      </c>
    </row>
    <row r="39" spans="1:10">
      <c r="A39" s="12" t="s">
        <v>34</v>
      </c>
      <c r="B39" s="14">
        <v>0.99643761008260445</v>
      </c>
      <c r="C39" s="13">
        <v>17</v>
      </c>
      <c r="D39" s="17">
        <f t="shared" si="0"/>
        <v>0.85</v>
      </c>
      <c r="E39" s="20">
        <f t="shared" si="1"/>
        <v>0.99643761008260445</v>
      </c>
      <c r="F39" s="22">
        <f t="shared" si="2"/>
        <v>0.85</v>
      </c>
      <c r="G39" s="14">
        <f t="shared" si="3"/>
        <v>0.14643761008260447</v>
      </c>
      <c r="H39" s="24">
        <f t="shared" si="4"/>
        <v>0.97062999999999999</v>
      </c>
      <c r="I39" s="14">
        <f t="shared" si="5"/>
        <v>2.580761008260446E-2</v>
      </c>
      <c r="J39" t="s">
        <v>15</v>
      </c>
    </row>
    <row r="40" spans="1:10">
      <c r="A40" s="12" t="s">
        <v>37</v>
      </c>
      <c r="B40" s="14">
        <v>0.99769837484068002</v>
      </c>
      <c r="C40" s="13">
        <v>18</v>
      </c>
      <c r="D40" s="17">
        <f t="shared" si="0"/>
        <v>0.9</v>
      </c>
      <c r="E40" s="20">
        <f t="shared" si="1"/>
        <v>0.99769837484068002</v>
      </c>
      <c r="F40" s="22">
        <f t="shared" si="2"/>
        <v>0.9</v>
      </c>
      <c r="G40" s="14">
        <f t="shared" si="3"/>
        <v>9.7698374840680002E-2</v>
      </c>
      <c r="H40" s="24">
        <f t="shared" si="4"/>
        <v>0.98042000000000007</v>
      </c>
      <c r="I40" s="14">
        <f t="shared" si="5"/>
        <v>1.7278374840679955E-2</v>
      </c>
      <c r="J40" t="s">
        <v>15</v>
      </c>
    </row>
    <row r="41" spans="1:10">
      <c r="A41" s="12" t="s">
        <v>38</v>
      </c>
      <c r="B41" s="14">
        <v>0.99891407892116824</v>
      </c>
      <c r="C41" s="13">
        <v>19</v>
      </c>
      <c r="D41" s="17">
        <f t="shared" si="0"/>
        <v>0.95</v>
      </c>
      <c r="E41" s="20">
        <f t="shared" si="1"/>
        <v>0.99891407892116824</v>
      </c>
      <c r="F41" s="22">
        <f t="shared" si="2"/>
        <v>0.95</v>
      </c>
      <c r="G41" s="14">
        <f t="shared" si="3"/>
        <v>4.891407892116828E-2</v>
      </c>
      <c r="H41" s="24">
        <f t="shared" si="4"/>
        <v>0.99021000000000003</v>
      </c>
      <c r="I41" s="14">
        <f t="shared" si="5"/>
        <v>8.7040789211682013E-3</v>
      </c>
      <c r="J41" t="s">
        <v>15</v>
      </c>
    </row>
    <row r="42" spans="1:10">
      <c r="A42" s="12" t="s">
        <v>36</v>
      </c>
      <c r="B42" s="14">
        <v>1</v>
      </c>
      <c r="C42" s="13">
        <v>20</v>
      </c>
      <c r="D42" s="17">
        <f t="shared" si="0"/>
        <v>1</v>
      </c>
      <c r="E42" s="20">
        <f t="shared" si="1"/>
        <v>1</v>
      </c>
      <c r="F42" s="22">
        <f t="shared" si="2"/>
        <v>1</v>
      </c>
      <c r="G42" s="14">
        <f t="shared" si="3"/>
        <v>0</v>
      </c>
      <c r="H42" s="24">
        <f t="shared" si="4"/>
        <v>1</v>
      </c>
      <c r="I42" s="14">
        <f t="shared" si="5"/>
        <v>0</v>
      </c>
      <c r="J42" t="s">
        <v>15</v>
      </c>
    </row>
  </sheetData>
  <phoneticPr fontId="6" type="noConversion"/>
  <conditionalFormatting sqref="G22:G42">
    <cfRule type="top10" dxfId="3" priority="2" rank="1"/>
  </conditionalFormatting>
  <conditionalFormatting sqref="I23:I42">
    <cfRule type="top10" dxfId="2" priority="1" rank="1"/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61C0B-0598-42A5-9121-4844938100A1}">
  <dimension ref="A1:M42"/>
  <sheetViews>
    <sheetView topLeftCell="A18" zoomScaleNormal="100" workbookViewId="0">
      <selection activeCell="K26" sqref="K26"/>
    </sheetView>
  </sheetViews>
  <sheetFormatPr defaultRowHeight="14.5"/>
  <cols>
    <col min="1" max="1" width="27.90625" bestFit="1" customWidth="1"/>
    <col min="2" max="2" width="34.6328125" bestFit="1" customWidth="1"/>
    <col min="13" max="13" width="15.36328125" customWidth="1"/>
  </cols>
  <sheetData>
    <row r="1" spans="7:13" ht="16.5">
      <c r="G1" t="s">
        <v>21</v>
      </c>
      <c r="H1" t="s">
        <v>300</v>
      </c>
      <c r="J1" t="s">
        <v>302</v>
      </c>
      <c r="K1" t="s">
        <v>303</v>
      </c>
      <c r="M1" t="s">
        <v>308</v>
      </c>
    </row>
    <row r="2" spans="7:13">
      <c r="G2" s="21">
        <v>0</v>
      </c>
      <c r="H2" s="21">
        <v>0</v>
      </c>
      <c r="J2" s="23">
        <v>0.25</v>
      </c>
      <c r="K2" s="23">
        <v>0.74759014637629417</v>
      </c>
    </row>
    <row r="3" spans="7:13">
      <c r="G3" s="21">
        <v>1</v>
      </c>
      <c r="H3" s="21">
        <v>1</v>
      </c>
      <c r="J3" s="22">
        <f>J2</f>
        <v>0.25</v>
      </c>
      <c r="K3" s="21">
        <v>0</v>
      </c>
    </row>
    <row r="5" spans="7:13" ht="16.5">
      <c r="G5" t="s">
        <v>21</v>
      </c>
      <c r="H5" t="s">
        <v>304</v>
      </c>
      <c r="J5" t="s">
        <v>306</v>
      </c>
      <c r="K5" t="s">
        <v>307</v>
      </c>
    </row>
    <row r="6" spans="7:13">
      <c r="G6" s="23">
        <v>0.25</v>
      </c>
      <c r="H6" s="23">
        <v>0.74759014637629417</v>
      </c>
      <c r="J6" s="23">
        <v>0.6</v>
      </c>
      <c r="K6" s="23">
        <v>0.94537665119600145</v>
      </c>
    </row>
    <row r="7" spans="7:13">
      <c r="G7" s="21">
        <v>1</v>
      </c>
      <c r="H7" s="21">
        <v>1</v>
      </c>
      <c r="J7" s="22">
        <f>J6</f>
        <v>0.6</v>
      </c>
      <c r="K7" s="21">
        <v>0</v>
      </c>
    </row>
    <row r="21" spans="1:10">
      <c r="D21" t="s">
        <v>297</v>
      </c>
      <c r="E21" t="s">
        <v>299</v>
      </c>
    </row>
    <row r="22" spans="1:10" ht="16.5">
      <c r="A22" s="11" t="s">
        <v>294</v>
      </c>
      <c r="B22" t="s">
        <v>309</v>
      </c>
      <c r="C22" t="s">
        <v>296</v>
      </c>
      <c r="D22" t="s">
        <v>21</v>
      </c>
      <c r="E22" t="s">
        <v>298</v>
      </c>
      <c r="F22" t="s">
        <v>300</v>
      </c>
      <c r="G22" t="s">
        <v>301</v>
      </c>
      <c r="H22" t="s">
        <v>304</v>
      </c>
      <c r="I22" t="s">
        <v>305</v>
      </c>
      <c r="J22" t="s">
        <v>17</v>
      </c>
    </row>
    <row r="23" spans="1:10">
      <c r="A23" s="12" t="s">
        <v>5</v>
      </c>
      <c r="B23" s="14">
        <v>0.35273116744019994</v>
      </c>
      <c r="C23" s="13">
        <v>1</v>
      </c>
      <c r="D23" s="15">
        <f>C23/MAX(C:C)</f>
        <v>0.05</v>
      </c>
      <c r="E23" s="18">
        <f>B23</f>
        <v>0.35273116744019994</v>
      </c>
      <c r="F23" s="22">
        <f>D23</f>
        <v>0.05</v>
      </c>
      <c r="G23" s="14">
        <f>E23-F23</f>
        <v>0.30273116744019996</v>
      </c>
      <c r="H23" s="23">
        <f>0.3365*D23+0.6635</f>
        <v>0.68032499999999996</v>
      </c>
      <c r="I23" s="14">
        <f>E23-H23</f>
        <v>-0.32759383255980001</v>
      </c>
      <c r="J23" t="s">
        <v>310</v>
      </c>
    </row>
    <row r="24" spans="1:10">
      <c r="A24" s="12" t="s">
        <v>9</v>
      </c>
      <c r="B24" s="14">
        <v>0.52195644412709752</v>
      </c>
      <c r="C24" s="13">
        <v>2</v>
      </c>
      <c r="D24" s="15">
        <f t="shared" ref="D24:D26" si="0">C24/MAX(C:C)</f>
        <v>0.1</v>
      </c>
      <c r="E24" s="18">
        <f t="shared" ref="E24:E42" si="1">B24</f>
        <v>0.52195644412709752</v>
      </c>
      <c r="F24" s="22">
        <f t="shared" ref="F24:F42" si="2">D24</f>
        <v>0.1</v>
      </c>
      <c r="G24" s="14">
        <f t="shared" ref="G24:G42" si="3">E24-F24</f>
        <v>0.42195644412709754</v>
      </c>
      <c r="H24" s="23">
        <f t="shared" ref="H24:H42" si="4">0.3365*D24+0.6635</f>
        <v>0.69714999999999994</v>
      </c>
      <c r="I24" s="14">
        <f t="shared" ref="I24:I42" si="5">E24-H24</f>
        <v>-0.17519355587290242</v>
      </c>
      <c r="J24" t="s">
        <v>310</v>
      </c>
    </row>
    <row r="25" spans="1:10">
      <c r="A25" s="12" t="s">
        <v>4</v>
      </c>
      <c r="B25" s="14">
        <v>0.62227775794359153</v>
      </c>
      <c r="C25" s="13">
        <v>3</v>
      </c>
      <c r="D25" s="15">
        <f t="shared" si="0"/>
        <v>0.15</v>
      </c>
      <c r="E25" s="18">
        <f t="shared" si="1"/>
        <v>0.62227775794359153</v>
      </c>
      <c r="F25" s="22">
        <f t="shared" si="2"/>
        <v>0.15</v>
      </c>
      <c r="G25" s="14">
        <f t="shared" si="3"/>
        <v>0.4722777579435915</v>
      </c>
      <c r="H25" s="23">
        <f t="shared" si="4"/>
        <v>0.71397500000000003</v>
      </c>
      <c r="I25" s="14">
        <f t="shared" si="5"/>
        <v>-9.1697242056408501E-2</v>
      </c>
      <c r="J25" t="s">
        <v>310</v>
      </c>
    </row>
    <row r="26" spans="1:10">
      <c r="A26" s="12" t="s">
        <v>7</v>
      </c>
      <c r="B26" s="14">
        <v>0.69368082827561584</v>
      </c>
      <c r="C26" s="13">
        <v>4</v>
      </c>
      <c r="D26" s="15">
        <f t="shared" si="0"/>
        <v>0.2</v>
      </c>
      <c r="E26" s="18">
        <f t="shared" si="1"/>
        <v>0.69368082827561584</v>
      </c>
      <c r="F26" s="22">
        <f t="shared" si="2"/>
        <v>0.2</v>
      </c>
      <c r="G26" s="14">
        <f t="shared" si="3"/>
        <v>0.49368082827561582</v>
      </c>
      <c r="H26" s="23">
        <f t="shared" si="4"/>
        <v>0.73080000000000001</v>
      </c>
      <c r="I26" s="14">
        <f t="shared" si="5"/>
        <v>-3.711917172438417E-2</v>
      </c>
      <c r="J26" t="s">
        <v>310</v>
      </c>
    </row>
    <row r="27" spans="1:10">
      <c r="A27" s="12" t="s">
        <v>6</v>
      </c>
      <c r="B27" s="14">
        <v>0.74759014637629417</v>
      </c>
      <c r="C27" s="13">
        <v>5</v>
      </c>
      <c r="D27" s="16">
        <f t="shared" ref="D24:D42" si="6">C27/MAX(C:C)</f>
        <v>0.25</v>
      </c>
      <c r="E27" s="18">
        <f t="shared" si="1"/>
        <v>0.74759014637629417</v>
      </c>
      <c r="F27" s="22">
        <f t="shared" si="2"/>
        <v>0.25</v>
      </c>
      <c r="G27" s="14">
        <f t="shared" si="3"/>
        <v>0.49759014637629417</v>
      </c>
      <c r="H27" s="23">
        <f t="shared" si="4"/>
        <v>0.74762499999999998</v>
      </c>
      <c r="I27" s="14">
        <f t="shared" si="5"/>
        <v>-3.4853623705810577E-5</v>
      </c>
      <c r="J27" t="s">
        <v>14</v>
      </c>
    </row>
    <row r="28" spans="1:10">
      <c r="A28" s="12" t="s">
        <v>8</v>
      </c>
      <c r="B28" s="14">
        <v>0.79114601927882899</v>
      </c>
      <c r="C28" s="13">
        <v>6</v>
      </c>
      <c r="D28" s="16">
        <f t="shared" si="6"/>
        <v>0.3</v>
      </c>
      <c r="E28" s="18">
        <f t="shared" si="1"/>
        <v>0.79114601927882899</v>
      </c>
      <c r="F28" s="22">
        <f t="shared" si="2"/>
        <v>0.3</v>
      </c>
      <c r="G28" s="14">
        <f t="shared" si="3"/>
        <v>0.491146019278829</v>
      </c>
      <c r="H28" s="23">
        <f t="shared" si="4"/>
        <v>0.76444999999999996</v>
      </c>
      <c r="I28" s="14">
        <f t="shared" si="5"/>
        <v>2.6696019278829031E-2</v>
      </c>
      <c r="J28" t="s">
        <v>14</v>
      </c>
    </row>
    <row r="29" spans="1:10">
      <c r="A29" s="12" t="s">
        <v>25</v>
      </c>
      <c r="B29" s="14">
        <v>0.82684755444484115</v>
      </c>
      <c r="C29" s="13">
        <v>7</v>
      </c>
      <c r="D29" s="16">
        <f t="shared" si="6"/>
        <v>0.35</v>
      </c>
      <c r="E29" s="19">
        <f t="shared" si="1"/>
        <v>0.82684755444484115</v>
      </c>
      <c r="F29" s="22">
        <f t="shared" si="2"/>
        <v>0.35</v>
      </c>
      <c r="G29" s="14">
        <f t="shared" si="3"/>
        <v>0.47684755444484117</v>
      </c>
      <c r="H29" s="23">
        <f t="shared" si="4"/>
        <v>0.78127499999999994</v>
      </c>
      <c r="I29" s="14">
        <f t="shared" si="5"/>
        <v>4.5572554444841207E-2</v>
      </c>
      <c r="J29" t="s">
        <v>14</v>
      </c>
    </row>
    <row r="30" spans="1:10">
      <c r="A30" s="12" t="s">
        <v>26</v>
      </c>
      <c r="B30" s="14">
        <v>0.85969296679757234</v>
      </c>
      <c r="C30" s="13">
        <v>8</v>
      </c>
      <c r="D30" s="16">
        <f t="shared" si="6"/>
        <v>0.4</v>
      </c>
      <c r="E30" s="19">
        <f t="shared" si="1"/>
        <v>0.85969296679757234</v>
      </c>
      <c r="F30" s="22">
        <f t="shared" si="2"/>
        <v>0.4</v>
      </c>
      <c r="G30" s="14">
        <f t="shared" si="3"/>
        <v>0.45969296679757232</v>
      </c>
      <c r="H30" s="23">
        <f t="shared" si="4"/>
        <v>0.79810000000000003</v>
      </c>
      <c r="I30" s="14">
        <f t="shared" si="5"/>
        <v>6.1592966797572313E-2</v>
      </c>
      <c r="J30" t="s">
        <v>14</v>
      </c>
    </row>
    <row r="31" spans="1:10">
      <c r="A31" s="12" t="s">
        <v>27</v>
      </c>
      <c r="B31" s="14">
        <v>0.88504105676544087</v>
      </c>
      <c r="C31" s="13">
        <v>9</v>
      </c>
      <c r="D31" s="16">
        <f t="shared" si="6"/>
        <v>0.45</v>
      </c>
      <c r="E31" s="19">
        <f t="shared" si="1"/>
        <v>0.88504105676544087</v>
      </c>
      <c r="F31" s="22">
        <f t="shared" si="2"/>
        <v>0.45</v>
      </c>
      <c r="G31" s="14">
        <f t="shared" si="3"/>
        <v>0.43504105676544086</v>
      </c>
      <c r="H31" s="23">
        <f t="shared" si="4"/>
        <v>0.81492500000000001</v>
      </c>
      <c r="I31" s="14">
        <f t="shared" si="5"/>
        <v>7.011605676544086E-2</v>
      </c>
      <c r="J31" t="s">
        <v>14</v>
      </c>
    </row>
    <row r="32" spans="1:10">
      <c r="A32" s="12" t="s">
        <v>29</v>
      </c>
      <c r="B32" s="14">
        <v>0.90717600856836844</v>
      </c>
      <c r="C32" s="13">
        <v>10</v>
      </c>
      <c r="D32" s="16">
        <f t="shared" si="6"/>
        <v>0.5</v>
      </c>
      <c r="E32" s="19">
        <f t="shared" si="1"/>
        <v>0.90717600856836844</v>
      </c>
      <c r="F32" s="22">
        <f t="shared" si="2"/>
        <v>0.5</v>
      </c>
      <c r="G32" s="14">
        <f t="shared" si="3"/>
        <v>0.40717600856836844</v>
      </c>
      <c r="H32" s="23">
        <f t="shared" si="4"/>
        <v>0.83174999999999999</v>
      </c>
      <c r="I32" s="14">
        <f t="shared" si="5"/>
        <v>7.5426008568368452E-2</v>
      </c>
      <c r="J32" t="s">
        <v>311</v>
      </c>
    </row>
    <row r="33" spans="1:10">
      <c r="A33" s="12" t="s">
        <v>28</v>
      </c>
      <c r="B33" s="14">
        <v>0.92752588361299537</v>
      </c>
      <c r="C33" s="13">
        <v>11</v>
      </c>
      <c r="D33" s="17">
        <f t="shared" si="6"/>
        <v>0.55000000000000004</v>
      </c>
      <c r="E33" s="19">
        <f t="shared" si="1"/>
        <v>0.92752588361299537</v>
      </c>
      <c r="F33" s="22">
        <f t="shared" si="2"/>
        <v>0.55000000000000004</v>
      </c>
      <c r="G33" s="14">
        <f t="shared" si="3"/>
        <v>0.37752588361299533</v>
      </c>
      <c r="H33" s="23">
        <f t="shared" si="4"/>
        <v>0.84857499999999997</v>
      </c>
      <c r="I33" s="14">
        <f t="shared" si="5"/>
        <v>7.8950883612995404E-2</v>
      </c>
      <c r="J33" t="s">
        <v>311</v>
      </c>
    </row>
    <row r="34" spans="1:10">
      <c r="A34" s="12" t="s">
        <v>30</v>
      </c>
      <c r="B34" s="14">
        <v>0.94537665119600145</v>
      </c>
      <c r="C34" s="13">
        <v>12</v>
      </c>
      <c r="D34" s="17">
        <f t="shared" si="6"/>
        <v>0.6</v>
      </c>
      <c r="E34" s="19">
        <f t="shared" si="1"/>
        <v>0.94537665119600145</v>
      </c>
      <c r="F34" s="22">
        <f t="shared" si="2"/>
        <v>0.6</v>
      </c>
      <c r="G34" s="14">
        <f t="shared" si="3"/>
        <v>0.34537665119600147</v>
      </c>
      <c r="H34" s="23">
        <f t="shared" si="4"/>
        <v>0.86539999999999995</v>
      </c>
      <c r="I34" s="14">
        <f t="shared" si="5"/>
        <v>7.9976651196001503E-2</v>
      </c>
      <c r="J34" t="s">
        <v>311</v>
      </c>
    </row>
    <row r="35" spans="1:10">
      <c r="A35" s="12" t="s">
        <v>31</v>
      </c>
      <c r="B35" s="14">
        <v>0.95965726526240624</v>
      </c>
      <c r="C35" s="13">
        <v>13</v>
      </c>
      <c r="D35" s="17">
        <f t="shared" si="6"/>
        <v>0.65</v>
      </c>
      <c r="E35" s="20">
        <f t="shared" si="1"/>
        <v>0.95965726526240624</v>
      </c>
      <c r="F35" s="22">
        <f t="shared" si="2"/>
        <v>0.65</v>
      </c>
      <c r="G35" s="14">
        <f t="shared" si="3"/>
        <v>0.30965726526240622</v>
      </c>
      <c r="H35" s="23">
        <f t="shared" si="4"/>
        <v>0.88222500000000004</v>
      </c>
      <c r="I35" s="14">
        <f t="shared" si="5"/>
        <v>7.7432265262406208E-2</v>
      </c>
      <c r="J35" t="s">
        <v>311</v>
      </c>
    </row>
    <row r="36" spans="1:10">
      <c r="A36" s="12" t="s">
        <v>32</v>
      </c>
      <c r="B36" s="14">
        <v>0.97072474116387009</v>
      </c>
      <c r="C36" s="13">
        <v>14</v>
      </c>
      <c r="D36" s="17">
        <f t="shared" si="6"/>
        <v>0.7</v>
      </c>
      <c r="E36" s="20">
        <f t="shared" si="1"/>
        <v>0.97072474116387009</v>
      </c>
      <c r="F36" s="22">
        <f t="shared" si="2"/>
        <v>0.7</v>
      </c>
      <c r="G36" s="14">
        <f t="shared" si="3"/>
        <v>0.27072474116387013</v>
      </c>
      <c r="H36" s="23">
        <f t="shared" si="4"/>
        <v>0.89905000000000002</v>
      </c>
      <c r="I36" s="14">
        <f t="shared" si="5"/>
        <v>7.167474116387007E-2</v>
      </c>
      <c r="J36" t="s">
        <v>311</v>
      </c>
    </row>
    <row r="37" spans="1:10">
      <c r="A37" s="12" t="s">
        <v>33</v>
      </c>
      <c r="B37" s="14">
        <v>0.97893609425205286</v>
      </c>
      <c r="C37" s="13">
        <v>15</v>
      </c>
      <c r="D37" s="17">
        <f t="shared" si="6"/>
        <v>0.75</v>
      </c>
      <c r="E37" s="20">
        <f t="shared" si="1"/>
        <v>0.97893609425205286</v>
      </c>
      <c r="F37" s="22">
        <f t="shared" si="2"/>
        <v>0.75</v>
      </c>
      <c r="G37" s="14">
        <f t="shared" si="3"/>
        <v>0.22893609425205286</v>
      </c>
      <c r="H37" s="23">
        <f t="shared" si="4"/>
        <v>0.91587499999999999</v>
      </c>
      <c r="I37" s="14">
        <f t="shared" si="5"/>
        <v>6.3061094252052863E-2</v>
      </c>
      <c r="J37" t="s">
        <v>311</v>
      </c>
    </row>
    <row r="38" spans="1:10">
      <c r="A38" s="12" t="s">
        <v>35</v>
      </c>
      <c r="B38" s="14">
        <v>0.98571938593359509</v>
      </c>
      <c r="C38" s="13">
        <v>16</v>
      </c>
      <c r="D38" s="17">
        <f t="shared" si="6"/>
        <v>0.8</v>
      </c>
      <c r="E38" s="20">
        <f t="shared" si="1"/>
        <v>0.98571938593359509</v>
      </c>
      <c r="F38" s="22">
        <f t="shared" si="2"/>
        <v>0.8</v>
      </c>
      <c r="G38" s="14">
        <f t="shared" si="3"/>
        <v>0.18571938593359505</v>
      </c>
      <c r="H38" s="23">
        <f t="shared" si="4"/>
        <v>0.93270000000000008</v>
      </c>
      <c r="I38" s="14">
        <f t="shared" si="5"/>
        <v>5.3019385933595009E-2</v>
      </c>
      <c r="J38" t="s">
        <v>311</v>
      </c>
    </row>
    <row r="39" spans="1:10">
      <c r="A39" s="12" t="s">
        <v>34</v>
      </c>
      <c r="B39" s="14">
        <v>0.99143163156015712</v>
      </c>
      <c r="C39" s="13">
        <v>17</v>
      </c>
      <c r="D39" s="17">
        <f t="shared" si="6"/>
        <v>0.85</v>
      </c>
      <c r="E39" s="20">
        <f t="shared" si="1"/>
        <v>0.99143163156015712</v>
      </c>
      <c r="F39" s="22">
        <f t="shared" si="2"/>
        <v>0.85</v>
      </c>
      <c r="G39" s="14">
        <f t="shared" si="3"/>
        <v>0.14143163156015714</v>
      </c>
      <c r="H39" s="23">
        <f t="shared" si="4"/>
        <v>0.94952499999999995</v>
      </c>
      <c r="I39" s="14">
        <f t="shared" si="5"/>
        <v>4.190663156015717E-2</v>
      </c>
      <c r="J39" t="s">
        <v>311</v>
      </c>
    </row>
    <row r="40" spans="1:10">
      <c r="A40" s="12" t="s">
        <v>36</v>
      </c>
      <c r="B40" s="14">
        <v>0.99428775437343808</v>
      </c>
      <c r="C40" s="13">
        <v>18</v>
      </c>
      <c r="D40" s="17">
        <f t="shared" si="6"/>
        <v>0.9</v>
      </c>
      <c r="E40" s="20">
        <f t="shared" si="1"/>
        <v>0.99428775437343808</v>
      </c>
      <c r="F40" s="22">
        <f t="shared" si="2"/>
        <v>0.9</v>
      </c>
      <c r="G40" s="14">
        <f t="shared" si="3"/>
        <v>9.428775437343806E-2</v>
      </c>
      <c r="H40" s="23">
        <f t="shared" si="4"/>
        <v>0.96635000000000004</v>
      </c>
      <c r="I40" s="14">
        <f t="shared" si="5"/>
        <v>2.793775437343804E-2</v>
      </c>
      <c r="J40" t="s">
        <v>311</v>
      </c>
    </row>
    <row r="41" spans="1:10">
      <c r="A41" s="12" t="s">
        <v>37</v>
      </c>
      <c r="B41" s="14">
        <v>0.99714387718671904</v>
      </c>
      <c r="C41" s="13">
        <v>19</v>
      </c>
      <c r="D41" s="17">
        <f t="shared" si="6"/>
        <v>0.95</v>
      </c>
      <c r="E41" s="20">
        <f t="shared" si="1"/>
        <v>0.99714387718671904</v>
      </c>
      <c r="F41" s="22">
        <f t="shared" si="2"/>
        <v>0.95</v>
      </c>
      <c r="G41" s="14">
        <f t="shared" si="3"/>
        <v>4.7143877186719085E-2</v>
      </c>
      <c r="H41" s="23">
        <f t="shared" si="4"/>
        <v>0.98317499999999991</v>
      </c>
      <c r="I41" s="14">
        <f t="shared" si="5"/>
        <v>1.3968877186719131E-2</v>
      </c>
      <c r="J41" t="s">
        <v>311</v>
      </c>
    </row>
    <row r="42" spans="1:10">
      <c r="A42" s="12" t="s">
        <v>38</v>
      </c>
      <c r="B42" s="14">
        <v>1</v>
      </c>
      <c r="C42" s="13">
        <v>20</v>
      </c>
      <c r="D42" s="17">
        <f t="shared" si="6"/>
        <v>1</v>
      </c>
      <c r="E42" s="20">
        <f t="shared" si="1"/>
        <v>1</v>
      </c>
      <c r="F42" s="22">
        <f t="shared" si="2"/>
        <v>1</v>
      </c>
      <c r="G42" s="14">
        <f t="shared" si="3"/>
        <v>0</v>
      </c>
      <c r="H42" s="23">
        <f t="shared" si="4"/>
        <v>1</v>
      </c>
      <c r="I42" s="14">
        <f t="shared" si="5"/>
        <v>0</v>
      </c>
      <c r="J42" t="s">
        <v>311</v>
      </c>
    </row>
  </sheetData>
  <conditionalFormatting sqref="G22:G42 H22:J22">
    <cfRule type="top10" dxfId="1" priority="2" rank="1"/>
  </conditionalFormatting>
  <conditionalFormatting sqref="I23:I42">
    <cfRule type="top10" dxfId="0" priority="1" rank="1"/>
  </conditionalFormatting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02"/>
  <sheetViews>
    <sheetView workbookViewId="0">
      <selection activeCell="B14" sqref="B14"/>
    </sheetView>
  </sheetViews>
  <sheetFormatPr defaultRowHeight="14.5"/>
  <cols>
    <col min="1" max="1" width="32" customWidth="1"/>
    <col min="2" max="2" width="35.453125" customWidth="1"/>
    <col min="3" max="3" width="16" customWidth="1"/>
    <col min="4" max="4" width="18.26953125" customWidth="1"/>
    <col min="5" max="6" width="9" customWidth="1"/>
  </cols>
  <sheetData>
    <row r="1" spans="1:5">
      <c r="A1" s="8" t="s">
        <v>0</v>
      </c>
      <c r="B1" s="8" t="s">
        <v>1</v>
      </c>
      <c r="C1" s="8" t="s">
        <v>2</v>
      </c>
      <c r="D1" s="8" t="s">
        <v>3</v>
      </c>
      <c r="E1" s="1"/>
    </row>
    <row r="2" spans="1:5">
      <c r="A2" t="s">
        <v>25</v>
      </c>
      <c r="B2" t="s">
        <v>59</v>
      </c>
      <c r="C2" s="9">
        <v>46023</v>
      </c>
      <c r="D2" s="10">
        <v>5200</v>
      </c>
    </row>
    <row r="3" spans="1:5">
      <c r="A3" t="s">
        <v>30</v>
      </c>
      <c r="B3" t="s">
        <v>60</v>
      </c>
      <c r="C3" s="9">
        <v>46023</v>
      </c>
      <c r="D3" s="10">
        <v>9754</v>
      </c>
    </row>
    <row r="4" spans="1:5">
      <c r="A4" t="s">
        <v>7</v>
      </c>
      <c r="B4" t="s">
        <v>61</v>
      </c>
      <c r="C4" s="9">
        <v>46023</v>
      </c>
      <c r="D4" s="10">
        <v>24121</v>
      </c>
    </row>
    <row r="5" spans="1:5">
      <c r="A5" t="s">
        <v>7</v>
      </c>
      <c r="B5" t="s">
        <v>62</v>
      </c>
      <c r="C5" s="9">
        <v>46023</v>
      </c>
      <c r="D5" s="10">
        <v>33813</v>
      </c>
    </row>
    <row r="6" spans="1:5">
      <c r="A6" t="s">
        <v>9</v>
      </c>
      <c r="B6" t="s">
        <v>63</v>
      </c>
      <c r="C6" s="9">
        <v>46023</v>
      </c>
      <c r="D6" s="10">
        <v>38499</v>
      </c>
    </row>
    <row r="7" spans="1:5">
      <c r="A7" t="s">
        <v>9</v>
      </c>
      <c r="B7" t="s">
        <v>64</v>
      </c>
      <c r="C7" s="9">
        <v>46023</v>
      </c>
      <c r="D7" s="10">
        <v>25319</v>
      </c>
    </row>
    <row r="8" spans="1:5">
      <c r="A8" t="s">
        <v>9</v>
      </c>
      <c r="B8" t="s">
        <v>65</v>
      </c>
      <c r="C8" s="9">
        <v>46023</v>
      </c>
      <c r="D8" s="10">
        <v>37158</v>
      </c>
    </row>
    <row r="9" spans="1:5">
      <c r="A9" t="s">
        <v>5</v>
      </c>
      <c r="B9" t="s">
        <v>66</v>
      </c>
      <c r="C9" s="9">
        <v>46023</v>
      </c>
      <c r="D9" s="10">
        <v>30144</v>
      </c>
    </row>
    <row r="10" spans="1:5">
      <c r="A10" t="s">
        <v>5</v>
      </c>
      <c r="B10" t="s">
        <v>67</v>
      </c>
      <c r="C10" s="9">
        <v>46023</v>
      </c>
      <c r="D10" s="10">
        <v>63366</v>
      </c>
    </row>
    <row r="11" spans="1:5">
      <c r="A11" t="s">
        <v>5</v>
      </c>
      <c r="B11" t="s">
        <v>68</v>
      </c>
      <c r="C11" s="9">
        <v>46023</v>
      </c>
      <c r="D11" s="10">
        <v>42753</v>
      </c>
    </row>
    <row r="12" spans="1:5">
      <c r="A12" t="s">
        <v>5</v>
      </c>
      <c r="B12" t="s">
        <v>69</v>
      </c>
      <c r="C12" s="9">
        <v>46023</v>
      </c>
      <c r="D12" s="10">
        <v>45643</v>
      </c>
    </row>
    <row r="13" spans="1:5">
      <c r="A13" t="s">
        <v>5</v>
      </c>
      <c r="B13" t="s">
        <v>70</v>
      </c>
      <c r="C13" s="9">
        <v>46023</v>
      </c>
      <c r="D13" s="10">
        <v>33452</v>
      </c>
    </row>
    <row r="14" spans="1:5">
      <c r="A14" t="s">
        <v>5</v>
      </c>
      <c r="B14" t="s">
        <v>71</v>
      </c>
      <c r="C14" s="9">
        <v>46023</v>
      </c>
      <c r="D14" s="10">
        <v>32817</v>
      </c>
    </row>
    <row r="15" spans="1:5">
      <c r="A15" t="s">
        <v>4</v>
      </c>
      <c r="B15" t="s">
        <v>72</v>
      </c>
      <c r="C15" s="9">
        <v>46024</v>
      </c>
      <c r="D15" s="10">
        <v>34426</v>
      </c>
    </row>
    <row r="16" spans="1:5">
      <c r="A16" t="s">
        <v>26</v>
      </c>
      <c r="B16" t="s">
        <v>73</v>
      </c>
      <c r="C16" s="9">
        <v>46024</v>
      </c>
      <c r="D16" s="10">
        <v>5200</v>
      </c>
    </row>
    <row r="17" spans="1:4">
      <c r="A17" t="s">
        <v>6</v>
      </c>
      <c r="B17" t="s">
        <v>74</v>
      </c>
      <c r="C17" s="9">
        <v>46024</v>
      </c>
      <c r="D17" s="10">
        <v>21042</v>
      </c>
    </row>
    <row r="18" spans="1:4">
      <c r="A18" t="s">
        <v>9</v>
      </c>
      <c r="B18" t="s">
        <v>75</v>
      </c>
      <c r="C18" s="9">
        <v>46024</v>
      </c>
      <c r="D18" s="10">
        <v>23003</v>
      </c>
    </row>
    <row r="19" spans="1:4">
      <c r="A19" t="s">
        <v>9</v>
      </c>
      <c r="B19" t="s">
        <v>76</v>
      </c>
      <c r="C19" s="9">
        <v>46024</v>
      </c>
      <c r="D19" s="10">
        <v>26542</v>
      </c>
    </row>
    <row r="20" spans="1:4">
      <c r="A20" t="s">
        <v>5</v>
      </c>
      <c r="B20" t="s">
        <v>77</v>
      </c>
      <c r="C20" s="9">
        <v>46024</v>
      </c>
      <c r="D20" s="10">
        <v>39698</v>
      </c>
    </row>
    <row r="21" spans="1:4">
      <c r="A21" t="s">
        <v>5</v>
      </c>
      <c r="B21" t="s">
        <v>78</v>
      </c>
      <c r="C21" s="9">
        <v>46024</v>
      </c>
      <c r="D21" s="10">
        <v>40955</v>
      </c>
    </row>
    <row r="22" spans="1:4">
      <c r="A22" t="s">
        <v>5</v>
      </c>
      <c r="B22" t="s">
        <v>79</v>
      </c>
      <c r="C22" s="9">
        <v>46024</v>
      </c>
      <c r="D22" s="10">
        <v>35767</v>
      </c>
    </row>
    <row r="23" spans="1:4">
      <c r="A23" t="s">
        <v>5</v>
      </c>
      <c r="B23" t="s">
        <v>79</v>
      </c>
      <c r="C23" s="9">
        <v>46024</v>
      </c>
      <c r="D23" s="10">
        <v>33573</v>
      </c>
    </row>
    <row r="24" spans="1:4">
      <c r="A24" t="s">
        <v>35</v>
      </c>
      <c r="B24" t="s">
        <v>80</v>
      </c>
      <c r="C24" s="9">
        <v>46025</v>
      </c>
      <c r="D24" s="10">
        <v>25934</v>
      </c>
    </row>
    <row r="25" spans="1:4">
      <c r="A25" t="s">
        <v>4</v>
      </c>
      <c r="B25" t="s">
        <v>81</v>
      </c>
      <c r="C25" s="9">
        <v>46025</v>
      </c>
      <c r="D25" s="10">
        <v>47858</v>
      </c>
    </row>
    <row r="26" spans="1:4">
      <c r="A26" t="s">
        <v>31</v>
      </c>
      <c r="B26" t="s">
        <v>82</v>
      </c>
      <c r="C26" s="9">
        <v>46025</v>
      </c>
      <c r="D26" s="10">
        <v>7073</v>
      </c>
    </row>
    <row r="27" spans="1:4">
      <c r="A27" t="s">
        <v>31</v>
      </c>
      <c r="B27" t="s">
        <v>83</v>
      </c>
      <c r="C27" s="9">
        <v>46025</v>
      </c>
      <c r="D27" s="10">
        <v>5200</v>
      </c>
    </row>
    <row r="28" spans="1:4">
      <c r="A28" t="s">
        <v>26</v>
      </c>
      <c r="B28" t="s">
        <v>84</v>
      </c>
      <c r="C28" s="9">
        <v>46025</v>
      </c>
      <c r="D28" s="10">
        <v>14185</v>
      </c>
    </row>
    <row r="29" spans="1:4">
      <c r="A29" t="s">
        <v>26</v>
      </c>
      <c r="B29" t="s">
        <v>85</v>
      </c>
      <c r="C29" s="9">
        <v>46025</v>
      </c>
      <c r="D29" s="10">
        <v>14227</v>
      </c>
    </row>
    <row r="30" spans="1:4">
      <c r="A30" t="s">
        <v>26</v>
      </c>
      <c r="B30" t="s">
        <v>86</v>
      </c>
      <c r="C30" s="9">
        <v>46025</v>
      </c>
      <c r="D30" s="10">
        <v>15140</v>
      </c>
    </row>
    <row r="31" spans="1:4">
      <c r="A31" t="s">
        <v>8</v>
      </c>
      <c r="B31" t="s">
        <v>87</v>
      </c>
      <c r="C31" s="9">
        <v>46025</v>
      </c>
      <c r="D31" s="10">
        <v>21615</v>
      </c>
    </row>
    <row r="32" spans="1:4">
      <c r="A32" t="s">
        <v>32</v>
      </c>
      <c r="B32" t="s">
        <v>88</v>
      </c>
      <c r="C32" s="9">
        <v>46025</v>
      </c>
      <c r="D32" s="10">
        <v>11931</v>
      </c>
    </row>
    <row r="33" spans="1:4">
      <c r="A33" t="s">
        <v>32</v>
      </c>
      <c r="B33" t="s">
        <v>89</v>
      </c>
      <c r="C33" s="9">
        <v>46025</v>
      </c>
      <c r="D33" s="10">
        <v>14491</v>
      </c>
    </row>
    <row r="34" spans="1:4">
      <c r="A34" t="s">
        <v>9</v>
      </c>
      <c r="B34" t="s">
        <v>90</v>
      </c>
      <c r="C34" s="9">
        <v>46025</v>
      </c>
      <c r="D34" s="10">
        <v>30715</v>
      </c>
    </row>
    <row r="35" spans="1:4">
      <c r="A35" t="s">
        <v>9</v>
      </c>
      <c r="B35" t="s">
        <v>90</v>
      </c>
      <c r="C35" s="9">
        <v>46025</v>
      </c>
      <c r="D35" s="10">
        <v>39326</v>
      </c>
    </row>
    <row r="36" spans="1:4">
      <c r="A36" t="s">
        <v>9</v>
      </c>
      <c r="B36" t="s">
        <v>91</v>
      </c>
      <c r="C36" s="9">
        <v>46025</v>
      </c>
      <c r="D36" s="10">
        <v>35922</v>
      </c>
    </row>
    <row r="37" spans="1:4">
      <c r="A37" t="s">
        <v>5</v>
      </c>
      <c r="B37" t="s">
        <v>92</v>
      </c>
      <c r="C37" s="9">
        <v>46025</v>
      </c>
      <c r="D37" s="10">
        <v>53011</v>
      </c>
    </row>
    <row r="38" spans="1:4">
      <c r="A38" t="s">
        <v>5</v>
      </c>
      <c r="B38" t="s">
        <v>67</v>
      </c>
      <c r="C38" s="9">
        <v>46025</v>
      </c>
      <c r="D38" s="10">
        <v>45978</v>
      </c>
    </row>
    <row r="39" spans="1:4">
      <c r="A39" t="s">
        <v>5</v>
      </c>
      <c r="B39" t="s">
        <v>93</v>
      </c>
      <c r="C39" s="9">
        <v>46025</v>
      </c>
      <c r="D39" s="10">
        <v>34542</v>
      </c>
    </row>
    <row r="40" spans="1:4">
      <c r="A40" t="s">
        <v>5</v>
      </c>
      <c r="B40" t="s">
        <v>94</v>
      </c>
      <c r="C40" s="9">
        <v>46025</v>
      </c>
      <c r="D40" s="10">
        <v>34084</v>
      </c>
    </row>
    <row r="41" spans="1:4">
      <c r="A41" t="s">
        <v>5</v>
      </c>
      <c r="B41" t="s">
        <v>95</v>
      </c>
      <c r="C41" s="9">
        <v>46025</v>
      </c>
      <c r="D41" s="10">
        <v>44909</v>
      </c>
    </row>
    <row r="42" spans="1:4">
      <c r="A42" t="s">
        <v>27</v>
      </c>
      <c r="B42" t="s">
        <v>96</v>
      </c>
      <c r="C42" s="9">
        <v>46026</v>
      </c>
      <c r="D42" s="10">
        <v>10405</v>
      </c>
    </row>
    <row r="43" spans="1:4">
      <c r="A43" t="s">
        <v>4</v>
      </c>
      <c r="B43" t="s">
        <v>78</v>
      </c>
      <c r="C43" s="9">
        <v>46026</v>
      </c>
      <c r="D43" s="10">
        <v>52502</v>
      </c>
    </row>
    <row r="44" spans="1:4">
      <c r="A44" t="s">
        <v>25</v>
      </c>
      <c r="B44" t="s">
        <v>97</v>
      </c>
      <c r="C44" s="9">
        <v>46026</v>
      </c>
      <c r="D44" s="10">
        <v>15523</v>
      </c>
    </row>
    <row r="45" spans="1:4">
      <c r="A45" t="s">
        <v>33</v>
      </c>
      <c r="B45" t="s">
        <v>98</v>
      </c>
      <c r="C45" s="9">
        <v>46026</v>
      </c>
      <c r="D45" s="10">
        <v>7834</v>
      </c>
    </row>
    <row r="46" spans="1:4">
      <c r="A46" t="s">
        <v>33</v>
      </c>
      <c r="B46" t="s">
        <v>99</v>
      </c>
      <c r="C46" s="9">
        <v>46026</v>
      </c>
      <c r="D46" s="10">
        <v>10962</v>
      </c>
    </row>
    <row r="47" spans="1:4">
      <c r="A47" t="s">
        <v>7</v>
      </c>
      <c r="B47" t="s">
        <v>100</v>
      </c>
      <c r="C47" s="9">
        <v>46026</v>
      </c>
      <c r="D47" s="10">
        <v>19829</v>
      </c>
    </row>
    <row r="48" spans="1:4">
      <c r="A48" t="s">
        <v>7</v>
      </c>
      <c r="B48" t="s">
        <v>101</v>
      </c>
      <c r="C48" s="9">
        <v>46026</v>
      </c>
      <c r="D48" s="10">
        <v>15966</v>
      </c>
    </row>
    <row r="49" spans="1:4">
      <c r="A49" t="s">
        <v>9</v>
      </c>
      <c r="B49" t="s">
        <v>102</v>
      </c>
      <c r="C49" s="9">
        <v>46026</v>
      </c>
      <c r="D49" s="10">
        <v>36587</v>
      </c>
    </row>
    <row r="50" spans="1:4">
      <c r="A50" t="s">
        <v>9</v>
      </c>
      <c r="B50" t="s">
        <v>75</v>
      </c>
      <c r="C50" s="9">
        <v>46026</v>
      </c>
      <c r="D50" s="10">
        <v>24511</v>
      </c>
    </row>
    <row r="51" spans="1:4">
      <c r="A51" t="s">
        <v>27</v>
      </c>
      <c r="B51" t="s">
        <v>103</v>
      </c>
      <c r="C51" s="9">
        <v>46027</v>
      </c>
      <c r="D51" s="10">
        <v>9706</v>
      </c>
    </row>
    <row r="52" spans="1:4">
      <c r="A52" t="s">
        <v>4</v>
      </c>
      <c r="B52" t="s">
        <v>104</v>
      </c>
      <c r="C52" s="9">
        <v>46027</v>
      </c>
      <c r="D52" s="10">
        <v>37096</v>
      </c>
    </row>
    <row r="53" spans="1:4">
      <c r="A53" t="s">
        <v>7</v>
      </c>
      <c r="B53" t="s">
        <v>105</v>
      </c>
      <c r="C53" s="9">
        <v>46027</v>
      </c>
      <c r="D53" s="10">
        <v>35957</v>
      </c>
    </row>
    <row r="54" spans="1:4">
      <c r="A54" t="s">
        <v>9</v>
      </c>
      <c r="B54" t="s">
        <v>106</v>
      </c>
      <c r="C54" s="9">
        <v>46027</v>
      </c>
      <c r="D54" s="10">
        <v>29761</v>
      </c>
    </row>
    <row r="55" spans="1:4">
      <c r="A55" t="s">
        <v>5</v>
      </c>
      <c r="B55" t="s">
        <v>107</v>
      </c>
      <c r="C55" s="9">
        <v>46027</v>
      </c>
      <c r="D55" s="10">
        <v>40558</v>
      </c>
    </row>
    <row r="56" spans="1:4">
      <c r="A56" t="s">
        <v>5</v>
      </c>
      <c r="B56" t="s">
        <v>108</v>
      </c>
      <c r="C56" s="9">
        <v>46027</v>
      </c>
      <c r="D56" s="10">
        <v>47554</v>
      </c>
    </row>
    <row r="57" spans="1:4">
      <c r="A57" t="s">
        <v>5</v>
      </c>
      <c r="B57" t="s">
        <v>109</v>
      </c>
      <c r="C57" s="9">
        <v>46027</v>
      </c>
      <c r="D57" s="10">
        <v>54075</v>
      </c>
    </row>
    <row r="58" spans="1:4">
      <c r="A58" t="s">
        <v>5</v>
      </c>
      <c r="B58" t="s">
        <v>110</v>
      </c>
      <c r="C58" s="9">
        <v>46027</v>
      </c>
      <c r="D58" s="10">
        <v>36993</v>
      </c>
    </row>
    <row r="59" spans="1:4">
      <c r="A59" t="s">
        <v>4</v>
      </c>
      <c r="B59" t="s">
        <v>111</v>
      </c>
      <c r="C59" s="9">
        <v>46028</v>
      </c>
      <c r="D59" s="10">
        <v>30370</v>
      </c>
    </row>
    <row r="60" spans="1:4">
      <c r="A60" t="s">
        <v>8</v>
      </c>
      <c r="B60" t="s">
        <v>112</v>
      </c>
      <c r="C60" s="9">
        <v>46028</v>
      </c>
      <c r="D60" s="10">
        <v>31532</v>
      </c>
    </row>
    <row r="61" spans="1:4">
      <c r="A61" t="s">
        <v>6</v>
      </c>
      <c r="B61" t="s">
        <v>113</v>
      </c>
      <c r="C61" s="9">
        <v>46028</v>
      </c>
      <c r="D61" s="10">
        <v>18976</v>
      </c>
    </row>
    <row r="62" spans="1:4">
      <c r="A62" t="s">
        <v>29</v>
      </c>
      <c r="B62" t="s">
        <v>114</v>
      </c>
      <c r="C62" s="9">
        <v>46028</v>
      </c>
      <c r="D62" s="10">
        <v>10664</v>
      </c>
    </row>
    <row r="63" spans="1:4">
      <c r="A63" t="s">
        <v>9</v>
      </c>
      <c r="B63" t="s">
        <v>115</v>
      </c>
      <c r="C63" s="9">
        <v>46028</v>
      </c>
      <c r="D63" s="10">
        <v>57695</v>
      </c>
    </row>
    <row r="64" spans="1:4">
      <c r="A64" t="s">
        <v>5</v>
      </c>
      <c r="B64" t="s">
        <v>116</v>
      </c>
      <c r="C64" s="9">
        <v>46028</v>
      </c>
      <c r="D64" s="10">
        <v>30604</v>
      </c>
    </row>
    <row r="65" spans="1:4">
      <c r="A65" t="s">
        <v>5</v>
      </c>
      <c r="B65" t="s">
        <v>117</v>
      </c>
      <c r="C65" s="9">
        <v>46028</v>
      </c>
      <c r="D65" s="10">
        <v>43640</v>
      </c>
    </row>
    <row r="66" spans="1:4">
      <c r="A66" t="s">
        <v>5</v>
      </c>
      <c r="B66" t="s">
        <v>118</v>
      </c>
      <c r="C66" s="9">
        <v>46028</v>
      </c>
      <c r="D66" s="10">
        <v>43840</v>
      </c>
    </row>
    <row r="67" spans="1:4">
      <c r="A67" t="s">
        <v>4</v>
      </c>
      <c r="B67" t="s">
        <v>119</v>
      </c>
      <c r="C67" s="9">
        <v>46029</v>
      </c>
      <c r="D67" s="10">
        <v>31874</v>
      </c>
    </row>
    <row r="68" spans="1:4">
      <c r="A68" t="s">
        <v>8</v>
      </c>
      <c r="B68" t="s">
        <v>120</v>
      </c>
      <c r="C68" s="9">
        <v>46029</v>
      </c>
      <c r="D68" s="10">
        <v>5401</v>
      </c>
    </row>
    <row r="69" spans="1:4">
      <c r="A69" t="s">
        <v>5</v>
      </c>
      <c r="B69" t="s">
        <v>121</v>
      </c>
      <c r="C69" s="9">
        <v>46029</v>
      </c>
      <c r="D69" s="10">
        <v>33182</v>
      </c>
    </row>
    <row r="70" spans="1:4">
      <c r="A70" t="s">
        <v>5</v>
      </c>
      <c r="B70" t="s">
        <v>121</v>
      </c>
      <c r="C70" s="9">
        <v>46029</v>
      </c>
      <c r="D70" s="10">
        <v>46366</v>
      </c>
    </row>
    <row r="71" spans="1:4">
      <c r="A71" t="s">
        <v>5</v>
      </c>
      <c r="B71" t="s">
        <v>122</v>
      </c>
      <c r="C71" s="9">
        <v>46029</v>
      </c>
      <c r="D71" s="10">
        <v>39702</v>
      </c>
    </row>
    <row r="72" spans="1:4">
      <c r="A72" t="s">
        <v>5</v>
      </c>
      <c r="B72" t="s">
        <v>110</v>
      </c>
      <c r="C72" s="9">
        <v>46029</v>
      </c>
      <c r="D72" s="10">
        <v>49411</v>
      </c>
    </row>
    <row r="73" spans="1:4">
      <c r="A73" t="s">
        <v>5</v>
      </c>
      <c r="B73" t="s">
        <v>71</v>
      </c>
      <c r="C73" s="9">
        <v>46029</v>
      </c>
      <c r="D73" s="10">
        <v>40676</v>
      </c>
    </row>
    <row r="74" spans="1:4">
      <c r="A74" t="s">
        <v>4</v>
      </c>
      <c r="B74" t="s">
        <v>123</v>
      </c>
      <c r="C74" s="9">
        <v>46030</v>
      </c>
      <c r="D74" s="10">
        <v>46596</v>
      </c>
    </row>
    <row r="75" spans="1:4">
      <c r="A75" t="s">
        <v>4</v>
      </c>
      <c r="B75" t="s">
        <v>124</v>
      </c>
      <c r="C75" s="9">
        <v>46030</v>
      </c>
      <c r="D75" s="10">
        <v>37173</v>
      </c>
    </row>
    <row r="76" spans="1:4">
      <c r="A76" t="s">
        <v>4</v>
      </c>
      <c r="B76" t="s">
        <v>125</v>
      </c>
      <c r="C76" s="9">
        <v>46030</v>
      </c>
      <c r="D76" s="10">
        <v>33038</v>
      </c>
    </row>
    <row r="77" spans="1:4">
      <c r="A77" t="s">
        <v>25</v>
      </c>
      <c r="B77" t="s">
        <v>126</v>
      </c>
      <c r="C77" s="9">
        <v>46030</v>
      </c>
      <c r="D77" s="10">
        <v>12456</v>
      </c>
    </row>
    <row r="78" spans="1:4">
      <c r="A78" t="s">
        <v>28</v>
      </c>
      <c r="B78" t="s">
        <v>127</v>
      </c>
      <c r="C78" s="9">
        <v>46030</v>
      </c>
      <c r="D78" s="10">
        <v>15514</v>
      </c>
    </row>
    <row r="79" spans="1:4">
      <c r="A79" t="s">
        <v>7</v>
      </c>
      <c r="B79" t="s">
        <v>128</v>
      </c>
      <c r="C79" s="9">
        <v>46030</v>
      </c>
      <c r="D79" s="10">
        <v>23686</v>
      </c>
    </row>
    <row r="80" spans="1:4">
      <c r="A80" t="s">
        <v>7</v>
      </c>
      <c r="B80" t="s">
        <v>129</v>
      </c>
      <c r="C80" s="9">
        <v>46030</v>
      </c>
      <c r="D80" s="10">
        <v>25785</v>
      </c>
    </row>
    <row r="81" spans="1:4">
      <c r="A81" t="s">
        <v>7</v>
      </c>
      <c r="B81" t="s">
        <v>130</v>
      </c>
      <c r="C81" s="9">
        <v>46030</v>
      </c>
      <c r="D81" s="10">
        <v>36933</v>
      </c>
    </row>
    <row r="82" spans="1:4">
      <c r="A82" t="s">
        <v>9</v>
      </c>
      <c r="B82" t="s">
        <v>81</v>
      </c>
      <c r="C82" s="9">
        <v>46030</v>
      </c>
      <c r="D82" s="10">
        <v>39493</v>
      </c>
    </row>
    <row r="83" spans="1:4">
      <c r="A83" t="s">
        <v>9</v>
      </c>
      <c r="B83" t="s">
        <v>131</v>
      </c>
      <c r="C83" s="9">
        <v>46030</v>
      </c>
      <c r="D83" s="10">
        <v>33739</v>
      </c>
    </row>
    <row r="84" spans="1:4">
      <c r="A84" t="s">
        <v>9</v>
      </c>
      <c r="B84" t="s">
        <v>132</v>
      </c>
      <c r="C84" s="9">
        <v>46030</v>
      </c>
      <c r="D84" s="10">
        <v>28157</v>
      </c>
    </row>
    <row r="85" spans="1:4">
      <c r="A85" t="s">
        <v>9</v>
      </c>
      <c r="B85" t="s">
        <v>133</v>
      </c>
      <c r="C85" s="9">
        <v>46030</v>
      </c>
      <c r="D85" s="10">
        <v>20825</v>
      </c>
    </row>
    <row r="86" spans="1:4">
      <c r="A86" t="s">
        <v>5</v>
      </c>
      <c r="B86" t="s">
        <v>134</v>
      </c>
      <c r="C86" s="9">
        <v>46030</v>
      </c>
      <c r="D86" s="10">
        <v>23012</v>
      </c>
    </row>
    <row r="87" spans="1:4">
      <c r="A87" t="s">
        <v>5</v>
      </c>
      <c r="B87" t="s">
        <v>135</v>
      </c>
      <c r="C87" s="9">
        <v>46030</v>
      </c>
      <c r="D87" s="10">
        <v>39843</v>
      </c>
    </row>
    <row r="88" spans="1:4">
      <c r="A88" t="s">
        <v>5</v>
      </c>
      <c r="B88" t="s">
        <v>136</v>
      </c>
      <c r="C88" s="9">
        <v>46030</v>
      </c>
      <c r="D88" s="10">
        <v>42679</v>
      </c>
    </row>
    <row r="89" spans="1:4">
      <c r="A89" t="s">
        <v>5</v>
      </c>
      <c r="B89" t="s">
        <v>71</v>
      </c>
      <c r="C89" s="9">
        <v>46030</v>
      </c>
      <c r="D89" s="10">
        <v>43619</v>
      </c>
    </row>
    <row r="90" spans="1:4">
      <c r="A90" t="s">
        <v>4</v>
      </c>
      <c r="B90" t="s">
        <v>137</v>
      </c>
      <c r="C90" s="9">
        <v>46031</v>
      </c>
      <c r="D90" s="10">
        <v>34726</v>
      </c>
    </row>
    <row r="91" spans="1:4">
      <c r="A91" t="s">
        <v>30</v>
      </c>
      <c r="B91" t="s">
        <v>138</v>
      </c>
      <c r="C91" s="9">
        <v>46031</v>
      </c>
      <c r="D91" s="10">
        <v>11271</v>
      </c>
    </row>
    <row r="92" spans="1:4">
      <c r="A92" t="s">
        <v>8</v>
      </c>
      <c r="B92" t="s">
        <v>139</v>
      </c>
      <c r="C92" s="9">
        <v>46031</v>
      </c>
      <c r="D92" s="10">
        <v>16121</v>
      </c>
    </row>
    <row r="93" spans="1:4">
      <c r="A93" t="s">
        <v>34</v>
      </c>
      <c r="B93" t="s">
        <v>140</v>
      </c>
      <c r="C93" s="9">
        <v>46031</v>
      </c>
      <c r="D93" s="10">
        <v>12413</v>
      </c>
    </row>
    <row r="94" spans="1:4">
      <c r="A94" t="s">
        <v>9</v>
      </c>
      <c r="B94" t="s">
        <v>141</v>
      </c>
      <c r="C94" s="9">
        <v>46031</v>
      </c>
      <c r="D94" s="10">
        <v>42892</v>
      </c>
    </row>
    <row r="95" spans="1:4">
      <c r="A95" t="s">
        <v>5</v>
      </c>
      <c r="B95" t="s">
        <v>67</v>
      </c>
      <c r="C95" s="9">
        <v>46031</v>
      </c>
      <c r="D95" s="10">
        <v>41365</v>
      </c>
    </row>
    <row r="96" spans="1:4">
      <c r="A96" t="s">
        <v>5</v>
      </c>
      <c r="B96" t="s">
        <v>77</v>
      </c>
      <c r="C96" s="9">
        <v>46031</v>
      </c>
      <c r="D96" s="10">
        <v>31562</v>
      </c>
    </row>
    <row r="97" spans="1:4">
      <c r="A97" t="s">
        <v>5</v>
      </c>
      <c r="B97" t="s">
        <v>142</v>
      </c>
      <c r="C97" s="9">
        <v>46031</v>
      </c>
      <c r="D97" s="10">
        <v>40958</v>
      </c>
    </row>
    <row r="98" spans="1:4">
      <c r="A98" t="s">
        <v>5</v>
      </c>
      <c r="B98" t="s">
        <v>143</v>
      </c>
      <c r="C98" s="9">
        <v>46031</v>
      </c>
      <c r="D98" s="10">
        <v>43007</v>
      </c>
    </row>
    <row r="99" spans="1:4">
      <c r="A99" t="s">
        <v>5</v>
      </c>
      <c r="B99" t="s">
        <v>69</v>
      </c>
      <c r="C99" s="9">
        <v>46031</v>
      </c>
      <c r="D99" s="10">
        <v>30808</v>
      </c>
    </row>
    <row r="100" spans="1:4">
      <c r="A100" t="s">
        <v>27</v>
      </c>
      <c r="B100" t="s">
        <v>144</v>
      </c>
      <c r="C100" s="9">
        <v>46032</v>
      </c>
      <c r="D100" s="10">
        <v>10009</v>
      </c>
    </row>
    <row r="101" spans="1:4">
      <c r="A101" t="s">
        <v>4</v>
      </c>
      <c r="B101" t="s">
        <v>145</v>
      </c>
      <c r="C101" s="9">
        <v>46032</v>
      </c>
      <c r="D101" s="10">
        <v>39700</v>
      </c>
    </row>
    <row r="102" spans="1:4">
      <c r="A102" t="s">
        <v>4</v>
      </c>
      <c r="B102" t="s">
        <v>146</v>
      </c>
      <c r="C102" s="9">
        <v>46032</v>
      </c>
      <c r="D102" s="10">
        <v>31076</v>
      </c>
    </row>
    <row r="103" spans="1:4">
      <c r="A103" t="s">
        <v>25</v>
      </c>
      <c r="B103" t="s">
        <v>147</v>
      </c>
      <c r="C103" s="9">
        <v>46032</v>
      </c>
      <c r="D103" s="10">
        <v>12256</v>
      </c>
    </row>
    <row r="104" spans="1:4">
      <c r="A104" t="s">
        <v>28</v>
      </c>
      <c r="B104" t="s">
        <v>148</v>
      </c>
      <c r="C104" s="9">
        <v>46032</v>
      </c>
      <c r="D104" s="10">
        <v>24977</v>
      </c>
    </row>
    <row r="105" spans="1:4">
      <c r="A105" t="s">
        <v>26</v>
      </c>
      <c r="B105" t="s">
        <v>149</v>
      </c>
      <c r="C105" s="9">
        <v>46032</v>
      </c>
      <c r="D105" s="10">
        <v>15061</v>
      </c>
    </row>
    <row r="106" spans="1:4">
      <c r="A106" t="s">
        <v>7</v>
      </c>
      <c r="B106" t="s">
        <v>150</v>
      </c>
      <c r="C106" s="9">
        <v>46032</v>
      </c>
      <c r="D106" s="10">
        <v>21163</v>
      </c>
    </row>
    <row r="107" spans="1:4">
      <c r="A107" t="s">
        <v>7</v>
      </c>
      <c r="B107" t="s">
        <v>151</v>
      </c>
      <c r="C107" s="9">
        <v>46032</v>
      </c>
      <c r="D107" s="10">
        <v>15505</v>
      </c>
    </row>
    <row r="108" spans="1:4">
      <c r="A108" t="s">
        <v>9</v>
      </c>
      <c r="B108" t="s">
        <v>57</v>
      </c>
      <c r="C108" s="9">
        <v>46032</v>
      </c>
      <c r="D108" s="10">
        <v>51154</v>
      </c>
    </row>
    <row r="109" spans="1:4">
      <c r="A109" t="s">
        <v>5</v>
      </c>
      <c r="B109" t="s">
        <v>152</v>
      </c>
      <c r="C109" s="9">
        <v>46032</v>
      </c>
      <c r="D109" s="10">
        <v>37280</v>
      </c>
    </row>
    <row r="110" spans="1:4">
      <c r="A110" t="s">
        <v>5</v>
      </c>
      <c r="B110" t="s">
        <v>117</v>
      </c>
      <c r="C110" s="9">
        <v>46032</v>
      </c>
      <c r="D110" s="10">
        <v>44804</v>
      </c>
    </row>
    <row r="111" spans="1:4">
      <c r="A111" t="s">
        <v>4</v>
      </c>
      <c r="B111" t="s">
        <v>153</v>
      </c>
      <c r="C111" s="9">
        <v>46033</v>
      </c>
      <c r="D111" s="10">
        <v>40237</v>
      </c>
    </row>
    <row r="112" spans="1:4">
      <c r="A112" t="s">
        <v>4</v>
      </c>
      <c r="B112" t="s">
        <v>154</v>
      </c>
      <c r="C112" s="9">
        <v>46033</v>
      </c>
      <c r="D112" s="10">
        <v>33108</v>
      </c>
    </row>
    <row r="113" spans="1:4">
      <c r="A113" t="s">
        <v>4</v>
      </c>
      <c r="B113" t="s">
        <v>69</v>
      </c>
      <c r="C113" s="9">
        <v>46033</v>
      </c>
      <c r="D113" s="10">
        <v>42579</v>
      </c>
    </row>
    <row r="114" spans="1:4">
      <c r="A114" t="s">
        <v>31</v>
      </c>
      <c r="B114" t="s">
        <v>155</v>
      </c>
      <c r="C114" s="9">
        <v>46033</v>
      </c>
      <c r="D114" s="10">
        <v>11559</v>
      </c>
    </row>
    <row r="115" spans="1:4">
      <c r="A115" t="s">
        <v>26</v>
      </c>
      <c r="B115" t="s">
        <v>156</v>
      </c>
      <c r="C115" s="9">
        <v>46033</v>
      </c>
      <c r="D115" s="10">
        <v>18803</v>
      </c>
    </row>
    <row r="116" spans="1:4">
      <c r="A116" t="s">
        <v>30</v>
      </c>
      <c r="B116" t="s">
        <v>157</v>
      </c>
      <c r="C116" s="9">
        <v>46033</v>
      </c>
      <c r="D116" s="10">
        <v>12116</v>
      </c>
    </row>
    <row r="117" spans="1:4">
      <c r="A117" t="s">
        <v>8</v>
      </c>
      <c r="B117" t="s">
        <v>158</v>
      </c>
      <c r="C117" s="9">
        <v>46033</v>
      </c>
      <c r="D117" s="10">
        <v>15765</v>
      </c>
    </row>
    <row r="118" spans="1:4">
      <c r="A118" t="s">
        <v>8</v>
      </c>
      <c r="B118" t="s">
        <v>159</v>
      </c>
      <c r="C118" s="9">
        <v>46033</v>
      </c>
      <c r="D118" s="10">
        <v>14640</v>
      </c>
    </row>
    <row r="119" spans="1:4">
      <c r="A119" t="s">
        <v>8</v>
      </c>
      <c r="B119" t="s">
        <v>160</v>
      </c>
      <c r="C119" s="9">
        <v>46033</v>
      </c>
      <c r="D119" s="10">
        <v>18803</v>
      </c>
    </row>
    <row r="120" spans="1:4">
      <c r="A120" t="s">
        <v>34</v>
      </c>
      <c r="B120" t="s">
        <v>161</v>
      </c>
      <c r="C120" s="9">
        <v>46033</v>
      </c>
      <c r="D120" s="10">
        <v>11833</v>
      </c>
    </row>
    <row r="121" spans="1:4">
      <c r="A121" t="s">
        <v>7</v>
      </c>
      <c r="B121" t="s">
        <v>162</v>
      </c>
      <c r="C121" s="9">
        <v>46033</v>
      </c>
      <c r="D121" s="10">
        <v>24895</v>
      </c>
    </row>
    <row r="122" spans="1:4">
      <c r="A122" t="s">
        <v>7</v>
      </c>
      <c r="B122" t="s">
        <v>163</v>
      </c>
      <c r="C122" s="9">
        <v>46033</v>
      </c>
      <c r="D122" s="10">
        <v>26075</v>
      </c>
    </row>
    <row r="123" spans="1:4">
      <c r="A123" t="s">
        <v>37</v>
      </c>
      <c r="B123" t="s">
        <v>164</v>
      </c>
      <c r="C123" s="9">
        <v>46033</v>
      </c>
      <c r="D123" s="10">
        <v>12822</v>
      </c>
    </row>
    <row r="124" spans="1:4">
      <c r="A124" t="s">
        <v>9</v>
      </c>
      <c r="B124" t="s">
        <v>165</v>
      </c>
      <c r="C124" s="9">
        <v>46033</v>
      </c>
      <c r="D124" s="10">
        <v>35580</v>
      </c>
    </row>
    <row r="125" spans="1:4">
      <c r="A125" t="s">
        <v>9</v>
      </c>
      <c r="B125" t="s">
        <v>166</v>
      </c>
      <c r="C125" s="9">
        <v>46033</v>
      </c>
      <c r="D125" s="10">
        <v>33398</v>
      </c>
    </row>
    <row r="126" spans="1:4">
      <c r="A126" t="s">
        <v>9</v>
      </c>
      <c r="B126" t="s">
        <v>167</v>
      </c>
      <c r="C126" s="9">
        <v>46033</v>
      </c>
      <c r="D126" s="10">
        <v>34451</v>
      </c>
    </row>
    <row r="127" spans="1:4">
      <c r="A127" t="s">
        <v>5</v>
      </c>
      <c r="B127" t="s">
        <v>93</v>
      </c>
      <c r="C127" s="9">
        <v>46033</v>
      </c>
      <c r="D127" s="10">
        <v>35662</v>
      </c>
    </row>
    <row r="128" spans="1:4">
      <c r="A128" t="s">
        <v>5</v>
      </c>
      <c r="B128" t="s">
        <v>94</v>
      </c>
      <c r="C128" s="9">
        <v>46033</v>
      </c>
      <c r="D128" s="10">
        <v>42733</v>
      </c>
    </row>
    <row r="129" spans="1:4">
      <c r="A129" t="s">
        <v>5</v>
      </c>
      <c r="B129" t="s">
        <v>168</v>
      </c>
      <c r="C129" s="9">
        <v>46033</v>
      </c>
      <c r="D129" s="10">
        <v>34291</v>
      </c>
    </row>
    <row r="130" spans="1:4">
      <c r="A130" t="s">
        <v>5</v>
      </c>
      <c r="B130" t="s">
        <v>109</v>
      </c>
      <c r="C130" s="9">
        <v>46033</v>
      </c>
      <c r="D130" s="10">
        <v>38754</v>
      </c>
    </row>
    <row r="131" spans="1:4">
      <c r="A131" t="s">
        <v>5</v>
      </c>
      <c r="B131" t="s">
        <v>169</v>
      </c>
      <c r="C131" s="9">
        <v>46033</v>
      </c>
      <c r="D131" s="10">
        <v>40440</v>
      </c>
    </row>
    <row r="132" spans="1:4">
      <c r="A132" t="s">
        <v>25</v>
      </c>
      <c r="B132" t="s">
        <v>170</v>
      </c>
      <c r="C132" s="9">
        <v>46034</v>
      </c>
      <c r="D132" s="10">
        <v>19013</v>
      </c>
    </row>
    <row r="133" spans="1:4">
      <c r="A133" t="s">
        <v>25</v>
      </c>
      <c r="B133" t="s">
        <v>171</v>
      </c>
      <c r="C133" s="9">
        <v>46034</v>
      </c>
      <c r="D133" s="10">
        <v>14379</v>
      </c>
    </row>
    <row r="134" spans="1:4">
      <c r="A134" t="s">
        <v>6</v>
      </c>
      <c r="B134" t="s">
        <v>172</v>
      </c>
      <c r="C134" s="9">
        <v>46034</v>
      </c>
      <c r="D134" s="10">
        <v>19654</v>
      </c>
    </row>
    <row r="135" spans="1:4">
      <c r="A135" t="s">
        <v>7</v>
      </c>
      <c r="B135" t="s">
        <v>173</v>
      </c>
      <c r="C135" s="9">
        <v>46034</v>
      </c>
      <c r="D135" s="10">
        <v>25856</v>
      </c>
    </row>
    <row r="136" spans="1:4">
      <c r="A136" t="s">
        <v>9</v>
      </c>
      <c r="B136" t="s">
        <v>174</v>
      </c>
      <c r="C136" s="9">
        <v>46034</v>
      </c>
      <c r="D136" s="10">
        <v>25664</v>
      </c>
    </row>
    <row r="137" spans="1:4">
      <c r="A137" t="s">
        <v>9</v>
      </c>
      <c r="B137" t="s">
        <v>106</v>
      </c>
      <c r="C137" s="9">
        <v>46034</v>
      </c>
      <c r="D137" s="10">
        <v>31260</v>
      </c>
    </row>
    <row r="138" spans="1:4">
      <c r="A138" t="s">
        <v>5</v>
      </c>
      <c r="B138" t="s">
        <v>134</v>
      </c>
      <c r="C138" s="9">
        <v>46034</v>
      </c>
      <c r="D138" s="10">
        <v>37102</v>
      </c>
    </row>
    <row r="139" spans="1:4">
      <c r="A139" t="s">
        <v>5</v>
      </c>
      <c r="B139" t="s">
        <v>116</v>
      </c>
      <c r="C139" s="9">
        <v>46034</v>
      </c>
      <c r="D139" s="10">
        <v>46982</v>
      </c>
    </row>
    <row r="140" spans="1:4">
      <c r="A140" t="s">
        <v>5</v>
      </c>
      <c r="B140" t="s">
        <v>175</v>
      </c>
      <c r="C140" s="9">
        <v>46034</v>
      </c>
      <c r="D140" s="10">
        <v>27131</v>
      </c>
    </row>
    <row r="141" spans="1:4">
      <c r="A141" t="s">
        <v>5</v>
      </c>
      <c r="B141" t="s">
        <v>176</v>
      </c>
      <c r="C141" s="9">
        <v>46034</v>
      </c>
      <c r="D141" s="10">
        <v>40745</v>
      </c>
    </row>
    <row r="142" spans="1:4">
      <c r="A142" t="s">
        <v>5</v>
      </c>
      <c r="B142" t="s">
        <v>136</v>
      </c>
      <c r="C142" s="9">
        <v>46034</v>
      </c>
      <c r="D142" s="10">
        <v>31088</v>
      </c>
    </row>
    <row r="143" spans="1:4">
      <c r="A143" t="s">
        <v>5</v>
      </c>
      <c r="B143" t="s">
        <v>177</v>
      </c>
      <c r="C143" s="9">
        <v>46034</v>
      </c>
      <c r="D143" s="10">
        <v>54956</v>
      </c>
    </row>
    <row r="144" spans="1:4">
      <c r="A144" t="s">
        <v>5</v>
      </c>
      <c r="B144" t="s">
        <v>178</v>
      </c>
      <c r="C144" s="9">
        <v>46034</v>
      </c>
      <c r="D144" s="10">
        <v>43872</v>
      </c>
    </row>
    <row r="145" spans="1:4">
      <c r="A145" t="s">
        <v>5</v>
      </c>
      <c r="B145" t="s">
        <v>179</v>
      </c>
      <c r="C145" s="9">
        <v>46034</v>
      </c>
      <c r="D145" s="10">
        <v>45101</v>
      </c>
    </row>
    <row r="146" spans="1:4">
      <c r="A146" t="s">
        <v>25</v>
      </c>
      <c r="B146" t="s">
        <v>180</v>
      </c>
      <c r="C146" s="9">
        <v>46035</v>
      </c>
      <c r="D146" s="10">
        <v>14607</v>
      </c>
    </row>
    <row r="147" spans="1:4">
      <c r="A147" t="s">
        <v>8</v>
      </c>
      <c r="B147" t="s">
        <v>181</v>
      </c>
      <c r="C147" s="9">
        <v>46035</v>
      </c>
      <c r="D147" s="10">
        <v>22777</v>
      </c>
    </row>
    <row r="148" spans="1:4">
      <c r="A148" t="s">
        <v>8</v>
      </c>
      <c r="B148" t="s">
        <v>182</v>
      </c>
      <c r="C148" s="9">
        <v>46035</v>
      </c>
      <c r="D148" s="10">
        <v>6210</v>
      </c>
    </row>
    <row r="149" spans="1:4">
      <c r="A149" t="s">
        <v>8</v>
      </c>
      <c r="B149" t="s">
        <v>183</v>
      </c>
      <c r="C149" s="9">
        <v>46035</v>
      </c>
      <c r="D149" s="10">
        <v>16975</v>
      </c>
    </row>
    <row r="150" spans="1:4">
      <c r="A150" t="s">
        <v>6</v>
      </c>
      <c r="B150" t="s">
        <v>184</v>
      </c>
      <c r="C150" s="9">
        <v>46035</v>
      </c>
      <c r="D150" s="10">
        <v>19806</v>
      </c>
    </row>
    <row r="151" spans="1:4">
      <c r="A151" t="s">
        <v>29</v>
      </c>
      <c r="B151" t="s">
        <v>185</v>
      </c>
      <c r="C151" s="9">
        <v>46035</v>
      </c>
      <c r="D151" s="10">
        <v>13763</v>
      </c>
    </row>
    <row r="152" spans="1:4">
      <c r="A152" t="s">
        <v>9</v>
      </c>
      <c r="B152" t="s">
        <v>186</v>
      </c>
      <c r="C152" s="9">
        <v>46035</v>
      </c>
      <c r="D152" s="10">
        <v>28391</v>
      </c>
    </row>
    <row r="153" spans="1:4">
      <c r="A153" t="s">
        <v>5</v>
      </c>
      <c r="B153" t="s">
        <v>67</v>
      </c>
      <c r="C153" s="9">
        <v>46035</v>
      </c>
      <c r="D153" s="10">
        <v>40017</v>
      </c>
    </row>
    <row r="154" spans="1:4">
      <c r="A154" t="s">
        <v>5</v>
      </c>
      <c r="B154" t="s">
        <v>135</v>
      </c>
      <c r="C154" s="9">
        <v>46035</v>
      </c>
      <c r="D154" s="10">
        <v>35562</v>
      </c>
    </row>
    <row r="155" spans="1:4">
      <c r="A155" t="s">
        <v>5</v>
      </c>
      <c r="B155" t="s">
        <v>77</v>
      </c>
      <c r="C155" s="9">
        <v>46035</v>
      </c>
      <c r="D155" s="10">
        <v>40011</v>
      </c>
    </row>
    <row r="156" spans="1:4">
      <c r="A156" t="s">
        <v>5</v>
      </c>
      <c r="B156" t="s">
        <v>187</v>
      </c>
      <c r="C156" s="9">
        <v>46035</v>
      </c>
      <c r="D156" s="10">
        <v>57337</v>
      </c>
    </row>
    <row r="157" spans="1:4">
      <c r="A157" t="s">
        <v>5</v>
      </c>
      <c r="B157" t="s">
        <v>168</v>
      </c>
      <c r="C157" s="9">
        <v>46035</v>
      </c>
      <c r="D157" s="10">
        <v>37557</v>
      </c>
    </row>
    <row r="158" spans="1:4">
      <c r="A158" t="s">
        <v>5</v>
      </c>
      <c r="B158" t="s">
        <v>95</v>
      </c>
      <c r="C158" s="9">
        <v>46035</v>
      </c>
      <c r="D158" s="10">
        <v>45968</v>
      </c>
    </row>
    <row r="159" spans="1:4">
      <c r="A159" t="s">
        <v>5</v>
      </c>
      <c r="B159" t="s">
        <v>109</v>
      </c>
      <c r="C159" s="9">
        <v>46035</v>
      </c>
      <c r="D159" s="10">
        <v>63389</v>
      </c>
    </row>
    <row r="160" spans="1:4">
      <c r="A160" t="s">
        <v>5</v>
      </c>
      <c r="B160" t="s">
        <v>118</v>
      </c>
      <c r="C160" s="9">
        <v>46035</v>
      </c>
      <c r="D160" s="10">
        <v>48958</v>
      </c>
    </row>
    <row r="161" spans="1:4">
      <c r="A161" t="s">
        <v>5</v>
      </c>
      <c r="B161" t="s">
        <v>110</v>
      </c>
      <c r="C161" s="9">
        <v>46035</v>
      </c>
      <c r="D161" s="10">
        <v>39217</v>
      </c>
    </row>
    <row r="162" spans="1:4">
      <c r="A162" t="s">
        <v>5</v>
      </c>
      <c r="B162" t="s">
        <v>71</v>
      </c>
      <c r="C162" s="9">
        <v>46035</v>
      </c>
      <c r="D162" s="10">
        <v>34044</v>
      </c>
    </row>
    <row r="163" spans="1:4">
      <c r="A163" t="s">
        <v>4</v>
      </c>
      <c r="B163" t="s">
        <v>188</v>
      </c>
      <c r="C163" s="9">
        <v>46036</v>
      </c>
      <c r="D163" s="10">
        <v>13020</v>
      </c>
    </row>
    <row r="164" spans="1:4">
      <c r="A164" t="s">
        <v>4</v>
      </c>
      <c r="B164" t="s">
        <v>179</v>
      </c>
      <c r="C164" s="9">
        <v>46036</v>
      </c>
      <c r="D164" s="10">
        <v>33715</v>
      </c>
    </row>
    <row r="165" spans="1:4">
      <c r="A165" t="s">
        <v>26</v>
      </c>
      <c r="B165" t="s">
        <v>189</v>
      </c>
      <c r="C165" s="9">
        <v>46036</v>
      </c>
      <c r="D165" s="10">
        <v>18498</v>
      </c>
    </row>
    <row r="166" spans="1:4">
      <c r="A166" t="s">
        <v>6</v>
      </c>
      <c r="B166" t="s">
        <v>190</v>
      </c>
      <c r="C166" s="9">
        <v>46036</v>
      </c>
      <c r="D166" s="10">
        <v>16107</v>
      </c>
    </row>
    <row r="167" spans="1:4">
      <c r="A167" t="s">
        <v>9</v>
      </c>
      <c r="B167" t="s">
        <v>191</v>
      </c>
      <c r="C167" s="9">
        <v>46036</v>
      </c>
      <c r="D167" s="10">
        <v>26260</v>
      </c>
    </row>
    <row r="168" spans="1:4">
      <c r="A168" t="s">
        <v>9</v>
      </c>
      <c r="B168" t="s">
        <v>192</v>
      </c>
      <c r="C168" s="9">
        <v>46036</v>
      </c>
      <c r="D168" s="10">
        <v>42817</v>
      </c>
    </row>
    <row r="169" spans="1:4">
      <c r="A169" t="s">
        <v>5</v>
      </c>
      <c r="B169" t="s">
        <v>77</v>
      </c>
      <c r="C169" s="9">
        <v>46036</v>
      </c>
      <c r="D169" s="10">
        <v>39360</v>
      </c>
    </row>
    <row r="170" spans="1:4">
      <c r="A170" t="s">
        <v>5</v>
      </c>
      <c r="B170" t="s">
        <v>152</v>
      </c>
      <c r="C170" s="9">
        <v>46036</v>
      </c>
      <c r="D170" s="10">
        <v>38722</v>
      </c>
    </row>
    <row r="171" spans="1:4">
      <c r="A171" t="s">
        <v>4</v>
      </c>
      <c r="B171" t="s">
        <v>141</v>
      </c>
      <c r="C171" s="9">
        <v>46037</v>
      </c>
      <c r="D171" s="10">
        <v>49823</v>
      </c>
    </row>
    <row r="172" spans="1:4">
      <c r="A172" t="s">
        <v>4</v>
      </c>
      <c r="B172" t="s">
        <v>193</v>
      </c>
      <c r="C172" s="9">
        <v>46037</v>
      </c>
      <c r="D172" s="10">
        <v>8948</v>
      </c>
    </row>
    <row r="173" spans="1:4">
      <c r="A173" t="s">
        <v>4</v>
      </c>
      <c r="B173" t="s">
        <v>178</v>
      </c>
      <c r="C173" s="9">
        <v>46037</v>
      </c>
      <c r="D173" s="10">
        <v>35511</v>
      </c>
    </row>
    <row r="174" spans="1:4">
      <c r="A174" t="s">
        <v>4</v>
      </c>
      <c r="B174" t="s">
        <v>194</v>
      </c>
      <c r="C174" s="9">
        <v>46037</v>
      </c>
      <c r="D174" s="10">
        <v>32873</v>
      </c>
    </row>
    <row r="175" spans="1:4">
      <c r="A175" t="s">
        <v>30</v>
      </c>
      <c r="B175" t="s">
        <v>195</v>
      </c>
      <c r="C175" s="9">
        <v>46037</v>
      </c>
      <c r="D175" s="10">
        <v>12807</v>
      </c>
    </row>
    <row r="176" spans="1:4">
      <c r="A176" t="s">
        <v>29</v>
      </c>
      <c r="B176" t="s">
        <v>196</v>
      </c>
      <c r="C176" s="9">
        <v>46037</v>
      </c>
      <c r="D176" s="10">
        <v>14557</v>
      </c>
    </row>
    <row r="177" spans="1:4">
      <c r="A177" t="s">
        <v>9</v>
      </c>
      <c r="B177" t="s">
        <v>197</v>
      </c>
      <c r="C177" s="9">
        <v>46037</v>
      </c>
      <c r="D177" s="10">
        <v>30326</v>
      </c>
    </row>
    <row r="178" spans="1:4">
      <c r="A178" t="s">
        <v>5</v>
      </c>
      <c r="B178" t="s">
        <v>77</v>
      </c>
      <c r="C178" s="9">
        <v>46037</v>
      </c>
      <c r="D178" s="10">
        <v>50865</v>
      </c>
    </row>
    <row r="179" spans="1:4">
      <c r="A179" t="s">
        <v>5</v>
      </c>
      <c r="B179" t="s">
        <v>175</v>
      </c>
      <c r="C179" s="9">
        <v>46037</v>
      </c>
      <c r="D179" s="10">
        <v>42181</v>
      </c>
    </row>
    <row r="180" spans="1:4">
      <c r="A180" t="s">
        <v>5</v>
      </c>
      <c r="B180" t="s">
        <v>136</v>
      </c>
      <c r="C180" s="9">
        <v>46037</v>
      </c>
      <c r="D180" s="10">
        <v>36094</v>
      </c>
    </row>
    <row r="181" spans="1:4">
      <c r="A181" t="s">
        <v>5</v>
      </c>
      <c r="B181" t="s">
        <v>198</v>
      </c>
      <c r="C181" s="9">
        <v>46037</v>
      </c>
      <c r="D181" s="10">
        <v>30432</v>
      </c>
    </row>
    <row r="182" spans="1:4">
      <c r="A182" t="s">
        <v>5</v>
      </c>
      <c r="B182" t="s">
        <v>199</v>
      </c>
      <c r="C182" s="9">
        <v>46037</v>
      </c>
      <c r="D182" s="10">
        <v>48291</v>
      </c>
    </row>
    <row r="183" spans="1:4">
      <c r="A183" t="s">
        <v>27</v>
      </c>
      <c r="B183" t="s">
        <v>200</v>
      </c>
      <c r="C183" s="9">
        <v>46038</v>
      </c>
      <c r="D183" s="10">
        <v>19964</v>
      </c>
    </row>
    <row r="184" spans="1:4">
      <c r="A184" t="s">
        <v>25</v>
      </c>
      <c r="B184" t="s">
        <v>201</v>
      </c>
      <c r="C184" s="9">
        <v>46038</v>
      </c>
      <c r="D184" s="10">
        <v>13946</v>
      </c>
    </row>
    <row r="185" spans="1:4">
      <c r="A185" t="s">
        <v>28</v>
      </c>
      <c r="B185" t="s">
        <v>202</v>
      </c>
      <c r="C185" s="9">
        <v>46038</v>
      </c>
      <c r="D185" s="10">
        <v>14315</v>
      </c>
    </row>
    <row r="186" spans="1:4">
      <c r="A186" t="s">
        <v>8</v>
      </c>
      <c r="B186" t="s">
        <v>203</v>
      </c>
      <c r="C186" s="9">
        <v>46038</v>
      </c>
      <c r="D186" s="10">
        <v>16680</v>
      </c>
    </row>
    <row r="187" spans="1:4">
      <c r="A187" t="s">
        <v>7</v>
      </c>
      <c r="B187" t="s">
        <v>204</v>
      </c>
      <c r="C187" s="9">
        <v>46038</v>
      </c>
      <c r="D187" s="10">
        <v>31195</v>
      </c>
    </row>
    <row r="188" spans="1:4">
      <c r="A188" t="s">
        <v>9</v>
      </c>
      <c r="B188" t="s">
        <v>205</v>
      </c>
      <c r="C188" s="9">
        <v>46038</v>
      </c>
      <c r="D188" s="10">
        <v>42612</v>
      </c>
    </row>
    <row r="189" spans="1:4">
      <c r="A189" t="s">
        <v>9</v>
      </c>
      <c r="B189" t="s">
        <v>191</v>
      </c>
      <c r="C189" s="9">
        <v>46038</v>
      </c>
      <c r="D189" s="10">
        <v>27281</v>
      </c>
    </row>
    <row r="190" spans="1:4">
      <c r="A190" t="s">
        <v>9</v>
      </c>
      <c r="B190" t="s">
        <v>206</v>
      </c>
      <c r="C190" s="9">
        <v>46038</v>
      </c>
      <c r="D190" s="10">
        <v>33608</v>
      </c>
    </row>
    <row r="191" spans="1:4">
      <c r="A191" t="s">
        <v>5</v>
      </c>
      <c r="B191" t="s">
        <v>78</v>
      </c>
      <c r="C191" s="9">
        <v>46038</v>
      </c>
      <c r="D191" s="10">
        <v>39843</v>
      </c>
    </row>
    <row r="192" spans="1:4">
      <c r="A192" t="s">
        <v>4</v>
      </c>
      <c r="B192" t="s">
        <v>207</v>
      </c>
      <c r="C192" s="9">
        <v>46039</v>
      </c>
      <c r="D192" s="10">
        <v>31639</v>
      </c>
    </row>
    <row r="193" spans="1:4">
      <c r="A193" t="s">
        <v>25</v>
      </c>
      <c r="B193" t="s">
        <v>208</v>
      </c>
      <c r="C193" s="9">
        <v>46039</v>
      </c>
      <c r="D193" s="10">
        <v>22562</v>
      </c>
    </row>
    <row r="194" spans="1:4">
      <c r="A194" t="s">
        <v>26</v>
      </c>
      <c r="B194" t="s">
        <v>209</v>
      </c>
      <c r="C194" s="9">
        <v>46039</v>
      </c>
      <c r="D194" s="10">
        <v>23622</v>
      </c>
    </row>
    <row r="195" spans="1:4">
      <c r="A195" t="s">
        <v>9</v>
      </c>
      <c r="B195" t="s">
        <v>116</v>
      </c>
      <c r="C195" s="9">
        <v>46039</v>
      </c>
      <c r="D195" s="10">
        <v>43089</v>
      </c>
    </row>
    <row r="196" spans="1:4">
      <c r="A196" t="s">
        <v>9</v>
      </c>
      <c r="B196" t="s">
        <v>205</v>
      </c>
      <c r="C196" s="9">
        <v>46039</v>
      </c>
      <c r="D196" s="10">
        <v>44616</v>
      </c>
    </row>
    <row r="197" spans="1:4">
      <c r="A197" t="s">
        <v>9</v>
      </c>
      <c r="B197" t="s">
        <v>76</v>
      </c>
      <c r="C197" s="9">
        <v>46039</v>
      </c>
      <c r="D197" s="10">
        <v>28729</v>
      </c>
    </row>
    <row r="198" spans="1:4">
      <c r="A198" t="s">
        <v>9</v>
      </c>
      <c r="B198" t="s">
        <v>210</v>
      </c>
      <c r="C198" s="9">
        <v>46039</v>
      </c>
      <c r="D198" s="10">
        <v>37690</v>
      </c>
    </row>
    <row r="199" spans="1:4">
      <c r="A199" t="s">
        <v>9</v>
      </c>
      <c r="B199" t="s">
        <v>133</v>
      </c>
      <c r="C199" s="9">
        <v>46039</v>
      </c>
      <c r="D199" s="10">
        <v>25699</v>
      </c>
    </row>
    <row r="200" spans="1:4">
      <c r="A200" t="s">
        <v>5</v>
      </c>
      <c r="B200" t="s">
        <v>134</v>
      </c>
      <c r="C200" s="9">
        <v>46039</v>
      </c>
      <c r="D200" s="10">
        <v>27802</v>
      </c>
    </row>
    <row r="201" spans="1:4">
      <c r="A201" t="s">
        <v>5</v>
      </c>
      <c r="B201" t="s">
        <v>211</v>
      </c>
      <c r="C201" s="9">
        <v>46039</v>
      </c>
      <c r="D201" s="10">
        <v>38043</v>
      </c>
    </row>
    <row r="202" spans="1:4">
      <c r="A202" t="s">
        <v>5</v>
      </c>
      <c r="B202" t="s">
        <v>122</v>
      </c>
      <c r="C202" s="9">
        <v>46039</v>
      </c>
      <c r="D202" s="10">
        <v>37496</v>
      </c>
    </row>
    <row r="203" spans="1:4">
      <c r="A203" t="s">
        <v>5</v>
      </c>
      <c r="B203" t="s">
        <v>179</v>
      </c>
      <c r="C203" s="9">
        <v>46039</v>
      </c>
      <c r="D203" s="10">
        <v>47009</v>
      </c>
    </row>
    <row r="204" spans="1:4">
      <c r="A204" t="s">
        <v>27</v>
      </c>
      <c r="B204" t="s">
        <v>212</v>
      </c>
      <c r="C204" s="9">
        <v>46040</v>
      </c>
      <c r="D204" s="10">
        <v>26050</v>
      </c>
    </row>
    <row r="205" spans="1:4">
      <c r="A205" t="s">
        <v>38</v>
      </c>
      <c r="B205" t="s">
        <v>58</v>
      </c>
      <c r="C205" s="9">
        <v>46040</v>
      </c>
      <c r="D205" s="10">
        <v>12870</v>
      </c>
    </row>
    <row r="206" spans="1:4">
      <c r="A206" t="s">
        <v>4</v>
      </c>
      <c r="B206" t="s">
        <v>213</v>
      </c>
      <c r="C206" s="9">
        <v>46040</v>
      </c>
      <c r="D206" s="10">
        <v>28135</v>
      </c>
    </row>
    <row r="207" spans="1:4">
      <c r="A207" t="s">
        <v>4</v>
      </c>
      <c r="B207" t="s">
        <v>214</v>
      </c>
      <c r="C207" s="9">
        <v>46040</v>
      </c>
      <c r="D207" s="10">
        <v>14789</v>
      </c>
    </row>
    <row r="208" spans="1:4">
      <c r="A208" t="s">
        <v>28</v>
      </c>
      <c r="B208" t="s">
        <v>215</v>
      </c>
      <c r="C208" s="9">
        <v>46040</v>
      </c>
      <c r="D208" s="10">
        <v>10820</v>
      </c>
    </row>
    <row r="209" spans="1:4">
      <c r="A209" t="s">
        <v>26</v>
      </c>
      <c r="B209" t="s">
        <v>216</v>
      </c>
      <c r="C209" s="9">
        <v>46040</v>
      </c>
      <c r="D209" s="10">
        <v>15314</v>
      </c>
    </row>
    <row r="210" spans="1:4">
      <c r="A210" t="s">
        <v>26</v>
      </c>
      <c r="B210" t="s">
        <v>217</v>
      </c>
      <c r="C210" s="9">
        <v>46040</v>
      </c>
      <c r="D210" s="10">
        <v>15777</v>
      </c>
    </row>
    <row r="211" spans="1:4">
      <c r="A211" t="s">
        <v>6</v>
      </c>
      <c r="B211" t="s">
        <v>218</v>
      </c>
      <c r="C211" s="9">
        <v>46040</v>
      </c>
      <c r="D211" s="10">
        <v>17677</v>
      </c>
    </row>
    <row r="212" spans="1:4">
      <c r="A212" t="s">
        <v>7</v>
      </c>
      <c r="B212" t="s">
        <v>219</v>
      </c>
      <c r="C212" s="9">
        <v>46040</v>
      </c>
      <c r="D212" s="10">
        <v>13667</v>
      </c>
    </row>
    <row r="213" spans="1:4">
      <c r="A213" t="s">
        <v>7</v>
      </c>
      <c r="B213" t="s">
        <v>220</v>
      </c>
      <c r="C213" s="9">
        <v>46040</v>
      </c>
      <c r="D213" s="10">
        <v>25826</v>
      </c>
    </row>
    <row r="214" spans="1:4">
      <c r="A214" t="s">
        <v>7</v>
      </c>
      <c r="B214" t="s">
        <v>221</v>
      </c>
      <c r="C214" s="9">
        <v>46040</v>
      </c>
      <c r="D214" s="10">
        <v>8774</v>
      </c>
    </row>
    <row r="215" spans="1:4">
      <c r="A215" t="s">
        <v>9</v>
      </c>
      <c r="B215" t="s">
        <v>222</v>
      </c>
      <c r="C215" s="9">
        <v>46040</v>
      </c>
      <c r="D215" s="10">
        <v>52511</v>
      </c>
    </row>
    <row r="216" spans="1:4">
      <c r="A216" t="s">
        <v>9</v>
      </c>
      <c r="B216" t="s">
        <v>166</v>
      </c>
      <c r="C216" s="9">
        <v>46040</v>
      </c>
      <c r="D216" s="10">
        <v>30916</v>
      </c>
    </row>
    <row r="217" spans="1:4">
      <c r="A217" t="s">
        <v>9</v>
      </c>
      <c r="B217" t="s">
        <v>223</v>
      </c>
      <c r="C217" s="9">
        <v>46040</v>
      </c>
      <c r="D217" s="10">
        <v>39570</v>
      </c>
    </row>
    <row r="218" spans="1:4">
      <c r="A218" t="s">
        <v>5</v>
      </c>
      <c r="B218" t="s">
        <v>224</v>
      </c>
      <c r="C218" s="9">
        <v>46040</v>
      </c>
      <c r="D218" s="10">
        <v>39800</v>
      </c>
    </row>
    <row r="219" spans="1:4">
      <c r="A219" t="s">
        <v>5</v>
      </c>
      <c r="B219" t="s">
        <v>94</v>
      </c>
      <c r="C219" s="9">
        <v>46040</v>
      </c>
      <c r="D219" s="10">
        <v>47813</v>
      </c>
    </row>
    <row r="220" spans="1:4">
      <c r="A220" t="s">
        <v>5</v>
      </c>
      <c r="B220" t="s">
        <v>178</v>
      </c>
      <c r="C220" s="9">
        <v>46040</v>
      </c>
      <c r="D220" s="10">
        <v>47581</v>
      </c>
    </row>
    <row r="221" spans="1:4">
      <c r="A221" t="s">
        <v>5</v>
      </c>
      <c r="B221" t="s">
        <v>179</v>
      </c>
      <c r="C221" s="9">
        <v>46040</v>
      </c>
      <c r="D221" s="10">
        <v>37941</v>
      </c>
    </row>
    <row r="222" spans="1:4">
      <c r="A222" t="s">
        <v>4</v>
      </c>
      <c r="B222" t="s">
        <v>225</v>
      </c>
      <c r="C222" s="9">
        <v>46041</v>
      </c>
      <c r="D222" s="10">
        <v>30228</v>
      </c>
    </row>
    <row r="223" spans="1:4">
      <c r="A223" t="s">
        <v>26</v>
      </c>
      <c r="B223" t="s">
        <v>226</v>
      </c>
      <c r="C223" s="9">
        <v>46041</v>
      </c>
      <c r="D223" s="10">
        <v>16072</v>
      </c>
    </row>
    <row r="224" spans="1:4">
      <c r="A224" t="s">
        <v>8</v>
      </c>
      <c r="B224" t="s">
        <v>227</v>
      </c>
      <c r="C224" s="9">
        <v>46041</v>
      </c>
      <c r="D224" s="10">
        <v>8444</v>
      </c>
    </row>
    <row r="225" spans="1:4">
      <c r="A225" t="s">
        <v>6</v>
      </c>
      <c r="B225" t="s">
        <v>228</v>
      </c>
      <c r="C225" s="9">
        <v>46041</v>
      </c>
      <c r="D225" s="10">
        <v>20153</v>
      </c>
    </row>
    <row r="226" spans="1:4">
      <c r="A226" t="s">
        <v>29</v>
      </c>
      <c r="B226" t="s">
        <v>229</v>
      </c>
      <c r="C226" s="9">
        <v>46041</v>
      </c>
      <c r="D226" s="10">
        <v>5492</v>
      </c>
    </row>
    <row r="227" spans="1:4">
      <c r="A227" t="s">
        <v>9</v>
      </c>
      <c r="B227" t="s">
        <v>63</v>
      </c>
      <c r="C227" s="9">
        <v>46041</v>
      </c>
      <c r="D227" s="10">
        <v>35797</v>
      </c>
    </row>
    <row r="228" spans="1:4">
      <c r="A228" t="s">
        <v>9</v>
      </c>
      <c r="B228" t="s">
        <v>132</v>
      </c>
      <c r="C228" s="9">
        <v>46041</v>
      </c>
      <c r="D228" s="10">
        <v>29827</v>
      </c>
    </row>
    <row r="229" spans="1:4">
      <c r="A229" t="s">
        <v>5</v>
      </c>
      <c r="B229" t="s">
        <v>67</v>
      </c>
      <c r="C229" s="9">
        <v>46041</v>
      </c>
      <c r="D229" s="10">
        <v>45550</v>
      </c>
    </row>
    <row r="230" spans="1:4">
      <c r="A230" t="s">
        <v>5</v>
      </c>
      <c r="B230" t="s">
        <v>67</v>
      </c>
      <c r="C230" s="9">
        <v>46041</v>
      </c>
      <c r="D230" s="10">
        <v>56264</v>
      </c>
    </row>
    <row r="231" spans="1:4">
      <c r="A231" t="s">
        <v>5</v>
      </c>
      <c r="B231" t="s">
        <v>230</v>
      </c>
      <c r="C231" s="9">
        <v>46041</v>
      </c>
      <c r="D231" s="10">
        <v>35527</v>
      </c>
    </row>
    <row r="232" spans="1:4">
      <c r="A232" t="s">
        <v>5</v>
      </c>
      <c r="B232" t="s">
        <v>117</v>
      </c>
      <c r="C232" s="9">
        <v>46041</v>
      </c>
      <c r="D232" s="10">
        <v>36537</v>
      </c>
    </row>
    <row r="233" spans="1:4">
      <c r="A233" t="s">
        <v>5</v>
      </c>
      <c r="B233" t="s">
        <v>136</v>
      </c>
      <c r="C233" s="9">
        <v>46041</v>
      </c>
      <c r="D233" s="10">
        <v>49071</v>
      </c>
    </row>
    <row r="234" spans="1:4">
      <c r="A234" t="s">
        <v>5</v>
      </c>
      <c r="B234" t="s">
        <v>118</v>
      </c>
      <c r="C234" s="9">
        <v>46041</v>
      </c>
      <c r="D234" s="10">
        <v>43037</v>
      </c>
    </row>
    <row r="235" spans="1:4">
      <c r="A235" t="s">
        <v>5</v>
      </c>
      <c r="B235" t="s">
        <v>210</v>
      </c>
      <c r="C235" s="9">
        <v>46041</v>
      </c>
      <c r="D235" s="10">
        <v>50896</v>
      </c>
    </row>
    <row r="236" spans="1:4">
      <c r="A236" t="s">
        <v>4</v>
      </c>
      <c r="B236" t="s">
        <v>231</v>
      </c>
      <c r="C236" s="9">
        <v>46042</v>
      </c>
      <c r="D236" s="10">
        <v>30980</v>
      </c>
    </row>
    <row r="237" spans="1:4">
      <c r="A237" t="s">
        <v>8</v>
      </c>
      <c r="B237" t="s">
        <v>232</v>
      </c>
      <c r="C237" s="9">
        <v>46042</v>
      </c>
      <c r="D237" s="10">
        <v>16234</v>
      </c>
    </row>
    <row r="238" spans="1:4">
      <c r="A238" t="s">
        <v>6</v>
      </c>
      <c r="B238" t="s">
        <v>233</v>
      </c>
      <c r="C238" s="9">
        <v>46042</v>
      </c>
      <c r="D238" s="10">
        <v>19017</v>
      </c>
    </row>
    <row r="239" spans="1:4">
      <c r="A239" t="s">
        <v>9</v>
      </c>
      <c r="B239" t="s">
        <v>167</v>
      </c>
      <c r="C239" s="9">
        <v>46042</v>
      </c>
      <c r="D239" s="10">
        <v>48991</v>
      </c>
    </row>
    <row r="240" spans="1:4">
      <c r="A240" t="s">
        <v>5</v>
      </c>
      <c r="B240" t="s">
        <v>135</v>
      </c>
      <c r="C240" s="9">
        <v>46042</v>
      </c>
      <c r="D240" s="10">
        <v>29506</v>
      </c>
    </row>
    <row r="241" spans="1:4">
      <c r="A241" t="s">
        <v>5</v>
      </c>
      <c r="B241" t="s">
        <v>77</v>
      </c>
      <c r="C241" s="9">
        <v>46042</v>
      </c>
      <c r="D241" s="10">
        <v>33677</v>
      </c>
    </row>
    <row r="242" spans="1:4">
      <c r="A242" t="s">
        <v>5</v>
      </c>
      <c r="B242" t="s">
        <v>142</v>
      </c>
      <c r="C242" s="9">
        <v>46042</v>
      </c>
      <c r="D242" s="10">
        <v>37696</v>
      </c>
    </row>
    <row r="243" spans="1:4">
      <c r="A243" t="s">
        <v>5</v>
      </c>
      <c r="B243" t="s">
        <v>230</v>
      </c>
      <c r="C243" s="9">
        <v>46042</v>
      </c>
      <c r="D243" s="10">
        <v>39603</v>
      </c>
    </row>
    <row r="244" spans="1:4">
      <c r="A244" t="s">
        <v>5</v>
      </c>
      <c r="B244" t="s">
        <v>109</v>
      </c>
      <c r="C244" s="9">
        <v>46042</v>
      </c>
      <c r="D244" s="10">
        <v>40594</v>
      </c>
    </row>
    <row r="245" spans="1:4">
      <c r="A245" t="s">
        <v>4</v>
      </c>
      <c r="B245" t="s">
        <v>234</v>
      </c>
      <c r="C245" s="9">
        <v>46043</v>
      </c>
      <c r="D245" s="10">
        <v>22272</v>
      </c>
    </row>
    <row r="246" spans="1:4">
      <c r="A246" t="s">
        <v>4</v>
      </c>
      <c r="B246" t="s">
        <v>235</v>
      </c>
      <c r="C246" s="9">
        <v>46043</v>
      </c>
      <c r="D246" s="10">
        <v>26628</v>
      </c>
    </row>
    <row r="247" spans="1:4">
      <c r="A247" t="s">
        <v>4</v>
      </c>
      <c r="B247" t="s">
        <v>225</v>
      </c>
      <c r="C247" s="9">
        <v>46043</v>
      </c>
      <c r="D247" s="10">
        <v>23421</v>
      </c>
    </row>
    <row r="248" spans="1:4">
      <c r="A248" t="s">
        <v>4</v>
      </c>
      <c r="B248" t="s">
        <v>68</v>
      </c>
      <c r="C248" s="9">
        <v>46043</v>
      </c>
      <c r="D248" s="10">
        <v>40101</v>
      </c>
    </row>
    <row r="249" spans="1:4">
      <c r="A249" t="s">
        <v>31</v>
      </c>
      <c r="B249" t="s">
        <v>236</v>
      </c>
      <c r="C249" s="9">
        <v>46043</v>
      </c>
      <c r="D249" s="10">
        <v>5337</v>
      </c>
    </row>
    <row r="250" spans="1:4">
      <c r="A250" t="s">
        <v>28</v>
      </c>
      <c r="B250" t="s">
        <v>237</v>
      </c>
      <c r="C250" s="9">
        <v>46043</v>
      </c>
      <c r="D250" s="10">
        <v>5200</v>
      </c>
    </row>
    <row r="251" spans="1:4">
      <c r="A251" t="s">
        <v>9</v>
      </c>
      <c r="B251" t="s">
        <v>197</v>
      </c>
      <c r="C251" s="9">
        <v>46043</v>
      </c>
      <c r="D251" s="10">
        <v>42727</v>
      </c>
    </row>
    <row r="252" spans="1:4">
      <c r="A252" t="s">
        <v>5</v>
      </c>
      <c r="B252" t="s">
        <v>176</v>
      </c>
      <c r="C252" s="9">
        <v>46043</v>
      </c>
      <c r="D252" s="10">
        <v>37828</v>
      </c>
    </row>
    <row r="253" spans="1:4">
      <c r="A253" t="s">
        <v>5</v>
      </c>
      <c r="B253" t="s">
        <v>210</v>
      </c>
      <c r="C253" s="9">
        <v>46043</v>
      </c>
      <c r="D253" s="10">
        <v>42359</v>
      </c>
    </row>
    <row r="254" spans="1:4">
      <c r="A254" t="s">
        <v>5</v>
      </c>
      <c r="B254" t="s">
        <v>210</v>
      </c>
      <c r="C254" s="9">
        <v>46043</v>
      </c>
      <c r="D254" s="10">
        <v>34005</v>
      </c>
    </row>
    <row r="255" spans="1:4">
      <c r="A255" t="s">
        <v>27</v>
      </c>
      <c r="B255" t="s">
        <v>238</v>
      </c>
      <c r="C255" s="9">
        <v>46044</v>
      </c>
      <c r="D255" s="10">
        <v>12902</v>
      </c>
    </row>
    <row r="256" spans="1:4">
      <c r="A256" t="s">
        <v>4</v>
      </c>
      <c r="B256" t="s">
        <v>239</v>
      </c>
      <c r="C256" s="9">
        <v>46044</v>
      </c>
      <c r="D256" s="10">
        <v>8276</v>
      </c>
    </row>
    <row r="257" spans="1:4">
      <c r="A257" t="s">
        <v>25</v>
      </c>
      <c r="B257" t="s">
        <v>240</v>
      </c>
      <c r="C257" s="9">
        <v>46044</v>
      </c>
      <c r="D257" s="10">
        <v>6761</v>
      </c>
    </row>
    <row r="258" spans="1:4">
      <c r="A258" t="s">
        <v>8</v>
      </c>
      <c r="B258" t="s">
        <v>241</v>
      </c>
      <c r="C258" s="9">
        <v>46044</v>
      </c>
      <c r="D258" s="10">
        <v>22750</v>
      </c>
    </row>
    <row r="259" spans="1:4">
      <c r="A259" t="s">
        <v>6</v>
      </c>
      <c r="B259" t="s">
        <v>242</v>
      </c>
      <c r="C259" s="9">
        <v>46044</v>
      </c>
      <c r="D259" s="10">
        <v>12856</v>
      </c>
    </row>
    <row r="260" spans="1:4">
      <c r="A260" t="s">
        <v>6</v>
      </c>
      <c r="B260" t="s">
        <v>243</v>
      </c>
      <c r="C260" s="9">
        <v>46044</v>
      </c>
      <c r="D260" s="10">
        <v>22660</v>
      </c>
    </row>
    <row r="261" spans="1:4">
      <c r="A261" t="s">
        <v>33</v>
      </c>
      <c r="B261" t="s">
        <v>244</v>
      </c>
      <c r="C261" s="9">
        <v>46044</v>
      </c>
      <c r="D261" s="10">
        <v>14124</v>
      </c>
    </row>
    <row r="262" spans="1:4">
      <c r="A262" t="s">
        <v>7</v>
      </c>
      <c r="B262" t="s">
        <v>245</v>
      </c>
      <c r="C262" s="9">
        <v>46044</v>
      </c>
      <c r="D262" s="10">
        <v>18854</v>
      </c>
    </row>
    <row r="263" spans="1:4">
      <c r="A263" t="s">
        <v>9</v>
      </c>
      <c r="B263" t="s">
        <v>174</v>
      </c>
      <c r="C263" s="9">
        <v>46044</v>
      </c>
      <c r="D263" s="10">
        <v>33423</v>
      </c>
    </row>
    <row r="264" spans="1:4">
      <c r="A264" t="s">
        <v>5</v>
      </c>
      <c r="B264" t="s">
        <v>176</v>
      </c>
      <c r="C264" s="9">
        <v>46044</v>
      </c>
      <c r="D264" s="10">
        <v>47040</v>
      </c>
    </row>
    <row r="265" spans="1:4">
      <c r="A265" t="s">
        <v>5</v>
      </c>
      <c r="B265" t="s">
        <v>108</v>
      </c>
      <c r="C265" s="9">
        <v>46044</v>
      </c>
      <c r="D265" s="10">
        <v>38577</v>
      </c>
    </row>
    <row r="266" spans="1:4">
      <c r="A266" t="s">
        <v>5</v>
      </c>
      <c r="B266" t="s">
        <v>199</v>
      </c>
      <c r="C266" s="9">
        <v>46044</v>
      </c>
      <c r="D266" s="10">
        <v>35888</v>
      </c>
    </row>
    <row r="267" spans="1:4">
      <c r="A267" t="s">
        <v>35</v>
      </c>
      <c r="B267" t="s">
        <v>246</v>
      </c>
      <c r="C267" s="9">
        <v>46045</v>
      </c>
      <c r="D267" s="10">
        <v>19880</v>
      </c>
    </row>
    <row r="268" spans="1:4">
      <c r="A268" t="s">
        <v>27</v>
      </c>
      <c r="B268" t="s">
        <v>247</v>
      </c>
      <c r="C268" s="9">
        <v>46045</v>
      </c>
      <c r="D268" s="10">
        <v>12626</v>
      </c>
    </row>
    <row r="269" spans="1:4">
      <c r="A269" t="s">
        <v>8</v>
      </c>
      <c r="B269" t="s">
        <v>248</v>
      </c>
      <c r="C269" s="9">
        <v>46045</v>
      </c>
      <c r="D269" s="10">
        <v>15009</v>
      </c>
    </row>
    <row r="270" spans="1:4">
      <c r="A270" t="s">
        <v>6</v>
      </c>
      <c r="B270" t="s">
        <v>249</v>
      </c>
      <c r="C270" s="9">
        <v>46045</v>
      </c>
      <c r="D270" s="10">
        <v>14900</v>
      </c>
    </row>
    <row r="271" spans="1:4">
      <c r="A271" t="s">
        <v>7</v>
      </c>
      <c r="B271" t="s">
        <v>100</v>
      </c>
      <c r="C271" s="9">
        <v>46045</v>
      </c>
      <c r="D271" s="10">
        <v>26210</v>
      </c>
    </row>
    <row r="272" spans="1:4">
      <c r="A272" t="s">
        <v>9</v>
      </c>
      <c r="B272" t="s">
        <v>133</v>
      </c>
      <c r="C272" s="9">
        <v>46045</v>
      </c>
      <c r="D272" s="10">
        <v>30471</v>
      </c>
    </row>
    <row r="273" spans="1:4">
      <c r="A273" t="s">
        <v>5</v>
      </c>
      <c r="B273" t="s">
        <v>77</v>
      </c>
      <c r="C273" s="9">
        <v>46045</v>
      </c>
      <c r="D273" s="10">
        <v>37652</v>
      </c>
    </row>
    <row r="274" spans="1:4">
      <c r="A274" t="s">
        <v>5</v>
      </c>
      <c r="B274" t="s">
        <v>93</v>
      </c>
      <c r="C274" s="9">
        <v>46045</v>
      </c>
      <c r="D274" s="10">
        <v>42209</v>
      </c>
    </row>
    <row r="275" spans="1:4">
      <c r="A275" t="s">
        <v>5</v>
      </c>
      <c r="B275" t="s">
        <v>152</v>
      </c>
      <c r="C275" s="9">
        <v>46045</v>
      </c>
      <c r="D275" s="10">
        <v>34120</v>
      </c>
    </row>
    <row r="276" spans="1:4">
      <c r="A276" t="s">
        <v>4</v>
      </c>
      <c r="B276" t="s">
        <v>104</v>
      </c>
      <c r="C276" s="9">
        <v>46046</v>
      </c>
      <c r="D276" s="10">
        <v>25774</v>
      </c>
    </row>
    <row r="277" spans="1:4">
      <c r="A277" t="s">
        <v>4</v>
      </c>
      <c r="B277" t="s">
        <v>250</v>
      </c>
      <c r="C277" s="9">
        <v>46046</v>
      </c>
      <c r="D277" s="10">
        <v>39439</v>
      </c>
    </row>
    <row r="278" spans="1:4">
      <c r="A278" t="s">
        <v>25</v>
      </c>
      <c r="B278" t="s">
        <v>251</v>
      </c>
      <c r="C278" s="9">
        <v>46046</v>
      </c>
      <c r="D278" s="10">
        <v>5200</v>
      </c>
    </row>
    <row r="279" spans="1:4">
      <c r="A279" t="s">
        <v>26</v>
      </c>
      <c r="B279" t="s">
        <v>252</v>
      </c>
      <c r="C279" s="9">
        <v>46046</v>
      </c>
      <c r="D279" s="10">
        <v>14799</v>
      </c>
    </row>
    <row r="280" spans="1:4">
      <c r="A280" t="s">
        <v>8</v>
      </c>
      <c r="B280" t="s">
        <v>253</v>
      </c>
      <c r="C280" s="9">
        <v>46046</v>
      </c>
      <c r="D280" s="10">
        <v>19084</v>
      </c>
    </row>
    <row r="281" spans="1:4">
      <c r="A281" t="s">
        <v>29</v>
      </c>
      <c r="B281" t="s">
        <v>254</v>
      </c>
      <c r="C281" s="9">
        <v>46046</v>
      </c>
      <c r="D281" s="10">
        <v>12047</v>
      </c>
    </row>
    <row r="282" spans="1:4">
      <c r="A282" t="s">
        <v>9</v>
      </c>
      <c r="B282" t="s">
        <v>65</v>
      </c>
      <c r="C282" s="9">
        <v>46046</v>
      </c>
      <c r="D282" s="10">
        <v>34021</v>
      </c>
    </row>
    <row r="283" spans="1:4">
      <c r="A283" t="s">
        <v>5</v>
      </c>
      <c r="B283" t="s">
        <v>66</v>
      </c>
      <c r="C283" s="9">
        <v>46046</v>
      </c>
      <c r="D283" s="10">
        <v>36742</v>
      </c>
    </row>
    <row r="284" spans="1:4">
      <c r="A284" t="s">
        <v>5</v>
      </c>
      <c r="B284" t="s">
        <v>141</v>
      </c>
      <c r="C284" s="9">
        <v>46046</v>
      </c>
      <c r="D284" s="10">
        <v>43130</v>
      </c>
    </row>
    <row r="285" spans="1:4">
      <c r="A285" t="s">
        <v>5</v>
      </c>
      <c r="B285" t="s">
        <v>168</v>
      </c>
      <c r="C285" s="9">
        <v>46046</v>
      </c>
      <c r="D285" s="10">
        <v>37094</v>
      </c>
    </row>
    <row r="286" spans="1:4">
      <c r="A286" t="s">
        <v>5</v>
      </c>
      <c r="B286" t="s">
        <v>95</v>
      </c>
      <c r="C286" s="9">
        <v>46046</v>
      </c>
      <c r="D286" s="10">
        <v>46908</v>
      </c>
    </row>
    <row r="287" spans="1:4">
      <c r="A287" t="s">
        <v>31</v>
      </c>
      <c r="B287" t="s">
        <v>255</v>
      </c>
      <c r="C287" s="9">
        <v>46047</v>
      </c>
      <c r="D287" s="10">
        <v>13011</v>
      </c>
    </row>
    <row r="288" spans="1:4">
      <c r="A288" t="s">
        <v>6</v>
      </c>
      <c r="B288" t="s">
        <v>256</v>
      </c>
      <c r="C288" s="9">
        <v>46047</v>
      </c>
      <c r="D288" s="10">
        <v>30179</v>
      </c>
    </row>
    <row r="289" spans="1:4">
      <c r="A289" t="s">
        <v>6</v>
      </c>
      <c r="B289" t="s">
        <v>257</v>
      </c>
      <c r="C289" s="9">
        <v>46047</v>
      </c>
      <c r="D289" s="10">
        <v>12854</v>
      </c>
    </row>
    <row r="290" spans="1:4">
      <c r="A290" t="s">
        <v>9</v>
      </c>
      <c r="B290" t="s">
        <v>76</v>
      </c>
      <c r="C290" s="9">
        <v>46047</v>
      </c>
      <c r="D290" s="10">
        <v>33736</v>
      </c>
    </row>
    <row r="291" spans="1:4">
      <c r="A291" t="s">
        <v>9</v>
      </c>
      <c r="B291" t="s">
        <v>65</v>
      </c>
      <c r="C291" s="9">
        <v>46047</v>
      </c>
      <c r="D291" s="10">
        <v>26889</v>
      </c>
    </row>
    <row r="292" spans="1:4">
      <c r="A292" t="s">
        <v>5</v>
      </c>
      <c r="B292" t="s">
        <v>116</v>
      </c>
      <c r="C292" s="9">
        <v>46047</v>
      </c>
      <c r="D292" s="10">
        <v>48974</v>
      </c>
    </row>
    <row r="293" spans="1:4">
      <c r="A293" t="s">
        <v>5</v>
      </c>
      <c r="B293" t="s">
        <v>230</v>
      </c>
      <c r="C293" s="9">
        <v>46047</v>
      </c>
      <c r="D293" s="10">
        <v>48829</v>
      </c>
    </row>
    <row r="294" spans="1:4">
      <c r="A294" t="s">
        <v>5</v>
      </c>
      <c r="B294" t="s">
        <v>258</v>
      </c>
      <c r="C294" s="9">
        <v>46047</v>
      </c>
      <c r="D294" s="10">
        <v>53054</v>
      </c>
    </row>
    <row r="295" spans="1:4">
      <c r="A295" t="s">
        <v>4</v>
      </c>
      <c r="B295" t="s">
        <v>259</v>
      </c>
      <c r="C295" s="9">
        <v>46048</v>
      </c>
      <c r="D295" s="10">
        <v>10402</v>
      </c>
    </row>
    <row r="296" spans="1:4">
      <c r="A296" t="s">
        <v>26</v>
      </c>
      <c r="B296" t="s">
        <v>260</v>
      </c>
      <c r="C296" s="9">
        <v>46048</v>
      </c>
      <c r="D296" s="10">
        <v>13882</v>
      </c>
    </row>
    <row r="297" spans="1:4">
      <c r="A297" t="s">
        <v>30</v>
      </c>
      <c r="B297" t="s">
        <v>261</v>
      </c>
      <c r="C297" s="9">
        <v>46048</v>
      </c>
      <c r="D297" s="10">
        <v>11808</v>
      </c>
    </row>
    <row r="298" spans="1:4">
      <c r="A298" t="s">
        <v>6</v>
      </c>
      <c r="B298" t="s">
        <v>262</v>
      </c>
      <c r="C298" s="9">
        <v>46048</v>
      </c>
      <c r="D298" s="10">
        <v>14953</v>
      </c>
    </row>
    <row r="299" spans="1:4">
      <c r="A299" t="s">
        <v>29</v>
      </c>
      <c r="B299" t="s">
        <v>263</v>
      </c>
      <c r="C299" s="9">
        <v>46048</v>
      </c>
      <c r="D299" s="10">
        <v>12636</v>
      </c>
    </row>
    <row r="300" spans="1:4">
      <c r="A300" t="s">
        <v>7</v>
      </c>
      <c r="B300" t="s">
        <v>264</v>
      </c>
      <c r="C300" s="9">
        <v>46048</v>
      </c>
      <c r="D300" s="10">
        <v>6882</v>
      </c>
    </row>
    <row r="301" spans="1:4">
      <c r="A301" t="s">
        <v>5</v>
      </c>
      <c r="B301" t="s">
        <v>66</v>
      </c>
      <c r="C301" s="9">
        <v>46048</v>
      </c>
      <c r="D301" s="10">
        <v>29848</v>
      </c>
    </row>
    <row r="302" spans="1:4">
      <c r="A302" t="s">
        <v>5</v>
      </c>
      <c r="B302" t="s">
        <v>121</v>
      </c>
      <c r="C302" s="9">
        <v>46048</v>
      </c>
      <c r="D302" s="10">
        <v>35942</v>
      </c>
    </row>
    <row r="303" spans="1:4">
      <c r="A303" t="s">
        <v>5</v>
      </c>
      <c r="B303" t="s">
        <v>71</v>
      </c>
      <c r="C303" s="9">
        <v>46048</v>
      </c>
      <c r="D303" s="10">
        <v>36788</v>
      </c>
    </row>
    <row r="304" spans="1:4">
      <c r="A304" t="s">
        <v>4</v>
      </c>
      <c r="B304" t="s">
        <v>198</v>
      </c>
      <c r="C304" s="9">
        <v>46049</v>
      </c>
      <c r="D304" s="10">
        <v>38575</v>
      </c>
    </row>
    <row r="305" spans="1:4">
      <c r="A305" t="s">
        <v>4</v>
      </c>
      <c r="B305" t="s">
        <v>265</v>
      </c>
      <c r="C305" s="9">
        <v>46049</v>
      </c>
      <c r="D305" s="10">
        <v>31164</v>
      </c>
    </row>
    <row r="306" spans="1:4">
      <c r="A306" t="s">
        <v>7</v>
      </c>
      <c r="B306" t="s">
        <v>266</v>
      </c>
      <c r="C306" s="9">
        <v>46049</v>
      </c>
      <c r="D306" s="10">
        <v>8935</v>
      </c>
    </row>
    <row r="307" spans="1:4">
      <c r="A307" t="s">
        <v>7</v>
      </c>
      <c r="B307" t="s">
        <v>267</v>
      </c>
      <c r="C307" s="9">
        <v>46049</v>
      </c>
      <c r="D307" s="10">
        <v>26926</v>
      </c>
    </row>
    <row r="308" spans="1:4">
      <c r="A308" t="s">
        <v>9</v>
      </c>
      <c r="B308" t="s">
        <v>268</v>
      </c>
      <c r="C308" s="9">
        <v>46049</v>
      </c>
      <c r="D308" s="10">
        <v>33677</v>
      </c>
    </row>
    <row r="309" spans="1:4">
      <c r="A309" t="s">
        <v>5</v>
      </c>
      <c r="B309" t="s">
        <v>107</v>
      </c>
      <c r="C309" s="9">
        <v>46049</v>
      </c>
      <c r="D309" s="10">
        <v>38103</v>
      </c>
    </row>
    <row r="310" spans="1:4">
      <c r="A310" t="s">
        <v>5</v>
      </c>
      <c r="B310" t="s">
        <v>94</v>
      </c>
      <c r="C310" s="9">
        <v>46049</v>
      </c>
      <c r="D310" s="10">
        <v>43768</v>
      </c>
    </row>
    <row r="311" spans="1:4">
      <c r="A311" t="s">
        <v>5</v>
      </c>
      <c r="B311" t="s">
        <v>168</v>
      </c>
      <c r="C311" s="9">
        <v>46049</v>
      </c>
      <c r="D311" s="10">
        <v>33696</v>
      </c>
    </row>
    <row r="312" spans="1:4">
      <c r="A312" t="s">
        <v>5</v>
      </c>
      <c r="B312" t="s">
        <v>199</v>
      </c>
      <c r="C312" s="9">
        <v>46049</v>
      </c>
      <c r="D312" s="10">
        <v>45962</v>
      </c>
    </row>
    <row r="313" spans="1:4">
      <c r="A313" t="s">
        <v>32</v>
      </c>
      <c r="B313" t="s">
        <v>269</v>
      </c>
      <c r="C313" s="9">
        <v>46050</v>
      </c>
      <c r="D313" s="10">
        <v>10790</v>
      </c>
    </row>
    <row r="314" spans="1:4">
      <c r="A314" t="s">
        <v>6</v>
      </c>
      <c r="B314" t="s">
        <v>270</v>
      </c>
      <c r="C314" s="9">
        <v>46050</v>
      </c>
      <c r="D314" s="10">
        <v>8431</v>
      </c>
    </row>
    <row r="315" spans="1:4">
      <c r="A315" t="s">
        <v>7</v>
      </c>
      <c r="B315" t="s">
        <v>271</v>
      </c>
      <c r="C315" s="9">
        <v>46050</v>
      </c>
      <c r="D315" s="10">
        <v>26940</v>
      </c>
    </row>
    <row r="316" spans="1:4">
      <c r="A316" t="s">
        <v>9</v>
      </c>
      <c r="B316" t="s">
        <v>102</v>
      </c>
      <c r="C316" s="9">
        <v>46050</v>
      </c>
      <c r="D316" s="10">
        <v>29250</v>
      </c>
    </row>
    <row r="317" spans="1:4">
      <c r="A317" t="s">
        <v>9</v>
      </c>
      <c r="B317" t="s">
        <v>64</v>
      </c>
      <c r="C317" s="9">
        <v>46050</v>
      </c>
      <c r="D317" s="10">
        <v>23300</v>
      </c>
    </row>
    <row r="318" spans="1:4">
      <c r="A318" t="s">
        <v>5</v>
      </c>
      <c r="B318" t="s">
        <v>67</v>
      </c>
      <c r="C318" s="9">
        <v>46050</v>
      </c>
      <c r="D318" s="10">
        <v>58892</v>
      </c>
    </row>
    <row r="319" spans="1:4">
      <c r="A319" t="s">
        <v>5</v>
      </c>
      <c r="B319" t="s">
        <v>141</v>
      </c>
      <c r="C319" s="9">
        <v>46050</v>
      </c>
      <c r="D319" s="10">
        <v>41699</v>
      </c>
    </row>
    <row r="320" spans="1:4">
      <c r="A320" t="s">
        <v>5</v>
      </c>
      <c r="B320" t="s">
        <v>93</v>
      </c>
      <c r="C320" s="9">
        <v>46050</v>
      </c>
      <c r="D320" s="10">
        <v>43554</v>
      </c>
    </row>
    <row r="321" spans="1:4">
      <c r="A321" t="s">
        <v>5</v>
      </c>
      <c r="B321" t="s">
        <v>94</v>
      </c>
      <c r="C321" s="9">
        <v>46050</v>
      </c>
      <c r="D321" s="10">
        <v>52182</v>
      </c>
    </row>
    <row r="322" spans="1:4">
      <c r="A322" t="s">
        <v>5</v>
      </c>
      <c r="B322" t="s">
        <v>272</v>
      </c>
      <c r="C322" s="9">
        <v>46050</v>
      </c>
      <c r="D322" s="10">
        <v>34184</v>
      </c>
    </row>
    <row r="323" spans="1:4">
      <c r="A323" t="s">
        <v>25</v>
      </c>
      <c r="B323" t="s">
        <v>273</v>
      </c>
      <c r="C323" s="9">
        <v>46051</v>
      </c>
      <c r="D323" s="10">
        <v>20138</v>
      </c>
    </row>
    <row r="324" spans="1:4">
      <c r="A324" t="s">
        <v>6</v>
      </c>
      <c r="B324" t="s">
        <v>274</v>
      </c>
      <c r="C324" s="9">
        <v>46051</v>
      </c>
      <c r="D324" s="10">
        <v>16327</v>
      </c>
    </row>
    <row r="325" spans="1:4">
      <c r="A325" t="s">
        <v>29</v>
      </c>
      <c r="B325" t="s">
        <v>275</v>
      </c>
      <c r="C325" s="9">
        <v>46051</v>
      </c>
      <c r="D325" s="10">
        <v>9877</v>
      </c>
    </row>
    <row r="326" spans="1:4">
      <c r="A326" t="s">
        <v>9</v>
      </c>
      <c r="B326" t="s">
        <v>276</v>
      </c>
      <c r="C326" s="9">
        <v>46051</v>
      </c>
      <c r="D326" s="10">
        <v>24294</v>
      </c>
    </row>
    <row r="327" spans="1:4">
      <c r="A327" t="s">
        <v>5</v>
      </c>
      <c r="B327" t="s">
        <v>224</v>
      </c>
      <c r="C327" s="9">
        <v>46051</v>
      </c>
      <c r="D327" s="10">
        <v>49773</v>
      </c>
    </row>
    <row r="328" spans="1:4">
      <c r="A328" t="s">
        <v>5</v>
      </c>
      <c r="B328" t="s">
        <v>121</v>
      </c>
      <c r="C328" s="9">
        <v>46051</v>
      </c>
      <c r="D328" s="10">
        <v>33799</v>
      </c>
    </row>
    <row r="329" spans="1:4">
      <c r="A329" t="s">
        <v>5</v>
      </c>
      <c r="B329" t="s">
        <v>117</v>
      </c>
      <c r="C329" s="9">
        <v>46051</v>
      </c>
      <c r="D329" s="10">
        <v>36170</v>
      </c>
    </row>
    <row r="330" spans="1:4">
      <c r="A330" t="s">
        <v>5</v>
      </c>
      <c r="B330" t="s">
        <v>69</v>
      </c>
      <c r="C330" s="9">
        <v>46051</v>
      </c>
      <c r="D330" s="10">
        <v>47381</v>
      </c>
    </row>
    <row r="331" spans="1:4">
      <c r="A331" t="s">
        <v>4</v>
      </c>
      <c r="B331" t="s">
        <v>277</v>
      </c>
      <c r="C331" s="9">
        <v>46052</v>
      </c>
      <c r="D331" s="10">
        <v>28228</v>
      </c>
    </row>
    <row r="332" spans="1:4">
      <c r="A332" t="s">
        <v>4</v>
      </c>
      <c r="B332" t="s">
        <v>71</v>
      </c>
      <c r="C332" s="9">
        <v>46052</v>
      </c>
      <c r="D332" s="10">
        <v>40454</v>
      </c>
    </row>
    <row r="333" spans="1:4">
      <c r="A333" t="s">
        <v>28</v>
      </c>
      <c r="B333" t="s">
        <v>278</v>
      </c>
      <c r="C333" s="9">
        <v>46052</v>
      </c>
      <c r="D333" s="10">
        <v>7668</v>
      </c>
    </row>
    <row r="334" spans="1:4">
      <c r="A334" t="s">
        <v>30</v>
      </c>
      <c r="B334" t="s">
        <v>279</v>
      </c>
      <c r="C334" s="9">
        <v>46052</v>
      </c>
      <c r="D334" s="10">
        <v>13534</v>
      </c>
    </row>
    <row r="335" spans="1:4">
      <c r="A335" t="s">
        <v>6</v>
      </c>
      <c r="B335" t="s">
        <v>280</v>
      </c>
      <c r="C335" s="9">
        <v>46052</v>
      </c>
      <c r="D335" s="10">
        <v>22484</v>
      </c>
    </row>
    <row r="336" spans="1:4">
      <c r="A336" t="s">
        <v>29</v>
      </c>
      <c r="B336" t="s">
        <v>281</v>
      </c>
      <c r="C336" s="9">
        <v>46052</v>
      </c>
      <c r="D336" s="10">
        <v>23801</v>
      </c>
    </row>
    <row r="337" spans="1:4">
      <c r="A337" t="s">
        <v>7</v>
      </c>
      <c r="B337" t="s">
        <v>282</v>
      </c>
      <c r="C337" s="9">
        <v>46052</v>
      </c>
      <c r="D337" s="10">
        <v>22696</v>
      </c>
    </row>
    <row r="338" spans="1:4">
      <c r="A338" t="s">
        <v>9</v>
      </c>
      <c r="B338" t="s">
        <v>191</v>
      </c>
      <c r="C338" s="9">
        <v>46052</v>
      </c>
      <c r="D338" s="10">
        <v>36376</v>
      </c>
    </row>
    <row r="339" spans="1:4">
      <c r="A339" t="s">
        <v>9</v>
      </c>
      <c r="B339" t="s">
        <v>283</v>
      </c>
      <c r="C339" s="9">
        <v>46052</v>
      </c>
      <c r="D339" s="10">
        <v>51243</v>
      </c>
    </row>
    <row r="340" spans="1:4">
      <c r="A340" t="s">
        <v>9</v>
      </c>
      <c r="B340" t="s">
        <v>79</v>
      </c>
      <c r="C340" s="9">
        <v>46052</v>
      </c>
      <c r="D340" s="10">
        <v>30323</v>
      </c>
    </row>
    <row r="341" spans="1:4">
      <c r="A341" t="s">
        <v>5</v>
      </c>
      <c r="B341" t="s">
        <v>141</v>
      </c>
      <c r="C341" s="9">
        <v>46052</v>
      </c>
      <c r="D341" s="10">
        <v>39730</v>
      </c>
    </row>
    <row r="342" spans="1:4">
      <c r="A342" t="s">
        <v>5</v>
      </c>
      <c r="B342" t="s">
        <v>284</v>
      </c>
      <c r="C342" s="9">
        <v>46052</v>
      </c>
      <c r="D342" s="10">
        <v>38676</v>
      </c>
    </row>
    <row r="343" spans="1:4">
      <c r="A343" t="s">
        <v>5</v>
      </c>
      <c r="B343" t="s">
        <v>143</v>
      </c>
      <c r="C343" s="9">
        <v>46052</v>
      </c>
      <c r="D343" s="10">
        <v>40942</v>
      </c>
    </row>
    <row r="344" spans="1:4">
      <c r="A344" t="s">
        <v>5</v>
      </c>
      <c r="B344" t="s">
        <v>169</v>
      </c>
      <c r="C344" s="9">
        <v>46052</v>
      </c>
      <c r="D344" s="10">
        <v>37645</v>
      </c>
    </row>
    <row r="345" spans="1:4">
      <c r="A345" t="s">
        <v>5</v>
      </c>
      <c r="B345" t="s">
        <v>169</v>
      </c>
      <c r="C345" s="9">
        <v>46052</v>
      </c>
      <c r="D345" s="10">
        <v>47542</v>
      </c>
    </row>
    <row r="346" spans="1:4">
      <c r="A346" t="s">
        <v>4</v>
      </c>
      <c r="B346" t="s">
        <v>77</v>
      </c>
      <c r="C346" s="9">
        <v>46053</v>
      </c>
      <c r="D346" s="10">
        <v>44208</v>
      </c>
    </row>
    <row r="347" spans="1:4">
      <c r="A347" t="s">
        <v>4</v>
      </c>
      <c r="B347" t="s">
        <v>285</v>
      </c>
      <c r="C347" s="9">
        <v>46053</v>
      </c>
      <c r="D347" s="10">
        <v>32578</v>
      </c>
    </row>
    <row r="348" spans="1:4">
      <c r="A348" t="s">
        <v>31</v>
      </c>
      <c r="B348" t="s">
        <v>286</v>
      </c>
      <c r="C348" s="9">
        <v>46053</v>
      </c>
      <c r="D348" s="10">
        <v>11818</v>
      </c>
    </row>
    <row r="349" spans="1:4">
      <c r="A349" t="s">
        <v>36</v>
      </c>
      <c r="B349" t="s">
        <v>287</v>
      </c>
      <c r="C349" s="9">
        <v>46053</v>
      </c>
      <c r="D349" s="10">
        <v>10954</v>
      </c>
    </row>
    <row r="350" spans="1:4">
      <c r="A350" t="s">
        <v>32</v>
      </c>
      <c r="B350" t="s">
        <v>288</v>
      </c>
      <c r="C350" s="9">
        <v>46053</v>
      </c>
      <c r="D350" s="10">
        <v>12493</v>
      </c>
    </row>
    <row r="351" spans="1:4">
      <c r="A351" t="s">
        <v>29</v>
      </c>
      <c r="B351" t="s">
        <v>289</v>
      </c>
      <c r="C351" s="9">
        <v>46053</v>
      </c>
      <c r="D351" s="10">
        <v>11741</v>
      </c>
    </row>
    <row r="352" spans="1:4">
      <c r="A352" t="s">
        <v>7</v>
      </c>
      <c r="B352" t="s">
        <v>290</v>
      </c>
      <c r="C352" s="9">
        <v>46053</v>
      </c>
      <c r="D352" s="10">
        <v>18892</v>
      </c>
    </row>
    <row r="353" spans="1:4">
      <c r="A353" t="s">
        <v>9</v>
      </c>
      <c r="B353" t="s">
        <v>291</v>
      </c>
      <c r="C353" s="9">
        <v>46053</v>
      </c>
      <c r="D353" s="10">
        <v>24282</v>
      </c>
    </row>
    <row r="354" spans="1:4">
      <c r="A354" t="s">
        <v>9</v>
      </c>
      <c r="B354" t="s">
        <v>186</v>
      </c>
      <c r="C354" s="9">
        <v>46053</v>
      </c>
      <c r="D354" s="10">
        <v>28468</v>
      </c>
    </row>
    <row r="355" spans="1:4">
      <c r="A355" t="s">
        <v>9</v>
      </c>
      <c r="B355" t="s">
        <v>292</v>
      </c>
      <c r="C355" s="9">
        <v>46053</v>
      </c>
      <c r="D355" s="10">
        <v>40986</v>
      </c>
    </row>
    <row r="356" spans="1:4">
      <c r="A356" t="s">
        <v>9</v>
      </c>
      <c r="B356" t="s">
        <v>293</v>
      </c>
      <c r="C356" s="9">
        <v>46053</v>
      </c>
      <c r="D356" s="10">
        <v>48374</v>
      </c>
    </row>
    <row r="357" spans="1:4">
      <c r="A357" t="s">
        <v>5</v>
      </c>
      <c r="B357" t="s">
        <v>284</v>
      </c>
      <c r="C357" s="9">
        <v>46053</v>
      </c>
      <c r="D357" s="10">
        <v>36581</v>
      </c>
    </row>
    <row r="358" spans="1:4">
      <c r="A358" t="s">
        <v>5</v>
      </c>
      <c r="B358" t="s">
        <v>198</v>
      </c>
      <c r="C358" s="9">
        <v>46053</v>
      </c>
      <c r="D358" s="10">
        <v>27926</v>
      </c>
    </row>
    <row r="359" spans="1:4">
      <c r="A359" t="s">
        <v>5</v>
      </c>
      <c r="B359" t="s">
        <v>68</v>
      </c>
      <c r="C359" s="9">
        <v>46053</v>
      </c>
      <c r="D359" s="10">
        <v>46569</v>
      </c>
    </row>
    <row r="360" spans="1:4">
      <c r="A360" t="s">
        <v>5</v>
      </c>
      <c r="B360" t="s">
        <v>258</v>
      </c>
      <c r="C360" s="9">
        <v>46053</v>
      </c>
      <c r="D360" s="10">
        <v>32688</v>
      </c>
    </row>
    <row r="361" spans="1:4">
      <c r="A361" t="s">
        <v>5</v>
      </c>
      <c r="B361" t="s">
        <v>70</v>
      </c>
      <c r="C361" s="9">
        <v>46053</v>
      </c>
      <c r="D361" s="10">
        <v>35537</v>
      </c>
    </row>
    <row r="362" spans="1:4">
      <c r="A362" t="s">
        <v>35</v>
      </c>
      <c r="B362" t="s">
        <v>99</v>
      </c>
      <c r="C362" s="9">
        <v>46054</v>
      </c>
      <c r="D362" s="10">
        <v>9310</v>
      </c>
    </row>
    <row r="363" spans="1:4">
      <c r="A363" t="s">
        <v>31</v>
      </c>
      <c r="B363" t="s">
        <v>286</v>
      </c>
      <c r="C363" s="9">
        <v>46054</v>
      </c>
      <c r="D363" s="10">
        <v>11814</v>
      </c>
    </row>
    <row r="364" spans="1:4">
      <c r="A364" t="s">
        <v>31</v>
      </c>
      <c r="B364" t="s">
        <v>236</v>
      </c>
      <c r="C364" s="9">
        <v>46054</v>
      </c>
      <c r="D364" s="10">
        <v>23238</v>
      </c>
    </row>
    <row r="365" spans="1:4">
      <c r="A365" t="s">
        <v>8</v>
      </c>
      <c r="B365" t="s">
        <v>158</v>
      </c>
      <c r="C365" s="9">
        <v>46054</v>
      </c>
      <c r="D365" s="10">
        <v>22772</v>
      </c>
    </row>
    <row r="366" spans="1:4">
      <c r="A366" t="s">
        <v>8</v>
      </c>
      <c r="B366" t="s">
        <v>181</v>
      </c>
      <c r="C366" s="9">
        <v>46054</v>
      </c>
      <c r="D366" s="10">
        <v>6476</v>
      </c>
    </row>
    <row r="367" spans="1:4">
      <c r="A367" t="s">
        <v>8</v>
      </c>
      <c r="B367" t="s">
        <v>139</v>
      </c>
      <c r="C367" s="9">
        <v>46054</v>
      </c>
      <c r="D367" s="10">
        <v>17316</v>
      </c>
    </row>
    <row r="368" spans="1:4">
      <c r="A368" t="s">
        <v>7</v>
      </c>
      <c r="B368" t="s">
        <v>266</v>
      </c>
      <c r="C368" s="9">
        <v>46054</v>
      </c>
      <c r="D368" s="10">
        <v>27329</v>
      </c>
    </row>
    <row r="369" spans="1:4">
      <c r="A369" t="s">
        <v>7</v>
      </c>
      <c r="B369" t="s">
        <v>163</v>
      </c>
      <c r="C369" s="9">
        <v>46054</v>
      </c>
      <c r="D369" s="10">
        <v>18711</v>
      </c>
    </row>
    <row r="370" spans="1:4">
      <c r="A370" t="s">
        <v>9</v>
      </c>
      <c r="B370" t="s">
        <v>92</v>
      </c>
      <c r="C370" s="9">
        <v>46054</v>
      </c>
      <c r="D370" s="10">
        <v>29867</v>
      </c>
    </row>
    <row r="371" spans="1:4">
      <c r="A371" t="s">
        <v>9</v>
      </c>
      <c r="B371" t="s">
        <v>92</v>
      </c>
      <c r="C371" s="9">
        <v>46054</v>
      </c>
      <c r="D371" s="10">
        <v>28903</v>
      </c>
    </row>
    <row r="372" spans="1:4">
      <c r="A372" t="s">
        <v>5</v>
      </c>
      <c r="B372" t="s">
        <v>116</v>
      </c>
      <c r="C372" s="9">
        <v>46054</v>
      </c>
      <c r="D372" s="10">
        <v>40639</v>
      </c>
    </row>
    <row r="373" spans="1:4">
      <c r="A373" t="s">
        <v>5</v>
      </c>
      <c r="B373" t="s">
        <v>272</v>
      </c>
      <c r="C373" s="9">
        <v>46054</v>
      </c>
      <c r="D373" s="10">
        <v>32707</v>
      </c>
    </row>
    <row r="374" spans="1:4">
      <c r="A374" t="s">
        <v>5</v>
      </c>
      <c r="B374" t="s">
        <v>272</v>
      </c>
      <c r="C374" s="9">
        <v>46054</v>
      </c>
      <c r="D374" s="10">
        <v>30426</v>
      </c>
    </row>
    <row r="375" spans="1:4">
      <c r="A375" t="s">
        <v>5</v>
      </c>
      <c r="B375" t="s">
        <v>230</v>
      </c>
      <c r="C375" s="9">
        <v>46054</v>
      </c>
      <c r="D375" s="10">
        <v>45740</v>
      </c>
    </row>
    <row r="376" spans="1:4">
      <c r="A376" t="s">
        <v>5</v>
      </c>
      <c r="B376" t="s">
        <v>95</v>
      </c>
      <c r="C376" s="9">
        <v>46054</v>
      </c>
      <c r="D376" s="10">
        <v>47007</v>
      </c>
    </row>
    <row r="377" spans="1:4">
      <c r="A377" t="s">
        <v>5</v>
      </c>
      <c r="B377" t="s">
        <v>169</v>
      </c>
      <c r="C377" s="9">
        <v>46054</v>
      </c>
      <c r="D377" s="10">
        <v>33783</v>
      </c>
    </row>
    <row r="378" spans="1:4">
      <c r="A378" t="s">
        <v>4</v>
      </c>
      <c r="B378" t="s">
        <v>123</v>
      </c>
      <c r="C378" s="9">
        <v>46055</v>
      </c>
      <c r="D378" s="10">
        <v>22656</v>
      </c>
    </row>
    <row r="379" spans="1:4">
      <c r="A379" t="s">
        <v>25</v>
      </c>
      <c r="B379" t="s">
        <v>240</v>
      </c>
      <c r="C379" s="9">
        <v>46055</v>
      </c>
      <c r="D379" s="10">
        <v>12395</v>
      </c>
    </row>
    <row r="380" spans="1:4">
      <c r="A380" t="s">
        <v>8</v>
      </c>
      <c r="B380" t="s">
        <v>227</v>
      </c>
      <c r="C380" s="9">
        <v>46055</v>
      </c>
      <c r="D380" s="10">
        <v>23805</v>
      </c>
    </row>
    <row r="381" spans="1:4">
      <c r="A381" t="s">
        <v>8</v>
      </c>
      <c r="B381" t="s">
        <v>120</v>
      </c>
      <c r="C381" s="9">
        <v>46055</v>
      </c>
      <c r="D381" s="10">
        <v>32355</v>
      </c>
    </row>
    <row r="382" spans="1:4">
      <c r="A382" t="s">
        <v>6</v>
      </c>
      <c r="B382" t="s">
        <v>262</v>
      </c>
      <c r="C382" s="9">
        <v>46055</v>
      </c>
      <c r="D382" s="10">
        <v>19828</v>
      </c>
    </row>
    <row r="383" spans="1:4">
      <c r="A383" t="s">
        <v>29</v>
      </c>
      <c r="B383" t="s">
        <v>114</v>
      </c>
      <c r="C383" s="9">
        <v>46055</v>
      </c>
      <c r="D383" s="10">
        <v>23185</v>
      </c>
    </row>
    <row r="384" spans="1:4">
      <c r="A384" t="s">
        <v>7</v>
      </c>
      <c r="B384" t="s">
        <v>128</v>
      </c>
      <c r="C384" s="9">
        <v>46055</v>
      </c>
      <c r="D384" s="10">
        <v>24369</v>
      </c>
    </row>
    <row r="385" spans="1:4">
      <c r="A385" t="s">
        <v>7</v>
      </c>
      <c r="B385" t="s">
        <v>100</v>
      </c>
      <c r="C385" s="9">
        <v>46055</v>
      </c>
      <c r="D385" s="10">
        <v>5401</v>
      </c>
    </row>
    <row r="386" spans="1:4">
      <c r="A386" t="s">
        <v>9</v>
      </c>
      <c r="B386" t="s">
        <v>197</v>
      </c>
      <c r="C386" s="9">
        <v>46055</v>
      </c>
      <c r="D386" s="10">
        <v>35201</v>
      </c>
    </row>
    <row r="387" spans="1:4">
      <c r="A387" t="s">
        <v>5</v>
      </c>
      <c r="B387" t="s">
        <v>141</v>
      </c>
      <c r="C387" s="9">
        <v>46055</v>
      </c>
      <c r="D387" s="10">
        <v>51975</v>
      </c>
    </row>
    <row r="388" spans="1:4">
      <c r="A388" t="s">
        <v>5</v>
      </c>
      <c r="B388" t="s">
        <v>198</v>
      </c>
      <c r="C388" s="9">
        <v>46055</v>
      </c>
      <c r="D388" s="10">
        <v>37504</v>
      </c>
    </row>
    <row r="389" spans="1:4">
      <c r="A389" t="s">
        <v>5</v>
      </c>
      <c r="B389" t="s">
        <v>110</v>
      </c>
      <c r="C389" s="9">
        <v>46055</v>
      </c>
      <c r="D389" s="10">
        <v>37310</v>
      </c>
    </row>
    <row r="390" spans="1:4">
      <c r="A390" t="s">
        <v>5</v>
      </c>
      <c r="B390" t="s">
        <v>169</v>
      </c>
      <c r="C390" s="9">
        <v>46055</v>
      </c>
      <c r="D390" s="10">
        <v>39879</v>
      </c>
    </row>
    <row r="391" spans="1:4">
      <c r="A391" t="s">
        <v>5</v>
      </c>
      <c r="B391" t="s">
        <v>69</v>
      </c>
      <c r="C391" s="9">
        <v>46055</v>
      </c>
      <c r="D391" s="10">
        <v>48246</v>
      </c>
    </row>
    <row r="392" spans="1:4">
      <c r="A392" t="s">
        <v>4</v>
      </c>
      <c r="B392" t="s">
        <v>231</v>
      </c>
      <c r="C392" s="9">
        <v>46056</v>
      </c>
      <c r="D392" s="10">
        <v>31115</v>
      </c>
    </row>
    <row r="393" spans="1:4">
      <c r="A393" t="s">
        <v>25</v>
      </c>
      <c r="B393" t="s">
        <v>180</v>
      </c>
      <c r="C393" s="9">
        <v>46056</v>
      </c>
      <c r="D393" s="10">
        <v>15075</v>
      </c>
    </row>
    <row r="394" spans="1:4">
      <c r="A394" t="s">
        <v>26</v>
      </c>
      <c r="B394" t="s">
        <v>156</v>
      </c>
      <c r="C394" s="9">
        <v>46056</v>
      </c>
      <c r="D394" s="10">
        <v>17587</v>
      </c>
    </row>
    <row r="395" spans="1:4">
      <c r="A395" t="s">
        <v>6</v>
      </c>
      <c r="B395" t="s">
        <v>218</v>
      </c>
      <c r="C395" s="9">
        <v>46056</v>
      </c>
      <c r="D395" s="10">
        <v>18368</v>
      </c>
    </row>
    <row r="396" spans="1:4">
      <c r="A396" t="s">
        <v>29</v>
      </c>
      <c r="B396" t="s">
        <v>196</v>
      </c>
      <c r="C396" s="9">
        <v>46056</v>
      </c>
      <c r="D396" s="10">
        <v>11092</v>
      </c>
    </row>
    <row r="397" spans="1:4">
      <c r="A397" t="s">
        <v>9</v>
      </c>
      <c r="B397" t="s">
        <v>276</v>
      </c>
      <c r="C397" s="9">
        <v>46056</v>
      </c>
      <c r="D397" s="10">
        <v>37946</v>
      </c>
    </row>
    <row r="398" spans="1:4">
      <c r="A398" t="s">
        <v>9</v>
      </c>
      <c r="B398" t="s">
        <v>166</v>
      </c>
      <c r="C398" s="9">
        <v>46056</v>
      </c>
      <c r="D398" s="10">
        <v>30365</v>
      </c>
    </row>
    <row r="399" spans="1:4">
      <c r="A399" t="s">
        <v>9</v>
      </c>
      <c r="B399" t="s">
        <v>132</v>
      </c>
      <c r="C399" s="9">
        <v>46056</v>
      </c>
      <c r="D399" s="10">
        <v>29583</v>
      </c>
    </row>
    <row r="400" spans="1:4">
      <c r="A400" t="s">
        <v>9</v>
      </c>
      <c r="B400" t="s">
        <v>223</v>
      </c>
      <c r="C400" s="9">
        <v>46056</v>
      </c>
      <c r="D400" s="10">
        <v>24722</v>
      </c>
    </row>
    <row r="401" spans="1:4">
      <c r="A401" t="s">
        <v>5</v>
      </c>
      <c r="B401" t="s">
        <v>142</v>
      </c>
      <c r="C401" s="9">
        <v>46056</v>
      </c>
      <c r="D401" s="10">
        <v>37362</v>
      </c>
    </row>
    <row r="402" spans="1:4">
      <c r="A402" t="s">
        <v>5</v>
      </c>
      <c r="B402" t="s">
        <v>110</v>
      </c>
      <c r="C402" s="9">
        <v>46056</v>
      </c>
      <c r="D402" s="10">
        <v>32319</v>
      </c>
    </row>
    <row r="403" spans="1:4">
      <c r="A403" t="s">
        <v>26</v>
      </c>
      <c r="B403" t="s">
        <v>73</v>
      </c>
      <c r="C403" s="9">
        <v>46057</v>
      </c>
      <c r="D403" s="10">
        <v>5200</v>
      </c>
    </row>
    <row r="404" spans="1:4">
      <c r="A404" t="s">
        <v>8</v>
      </c>
      <c r="B404" t="s">
        <v>112</v>
      </c>
      <c r="C404" s="9">
        <v>46057</v>
      </c>
      <c r="D404" s="10">
        <v>12514</v>
      </c>
    </row>
    <row r="405" spans="1:4">
      <c r="A405" t="s">
        <v>8</v>
      </c>
      <c r="B405" t="s">
        <v>253</v>
      </c>
      <c r="C405" s="9">
        <v>46057</v>
      </c>
      <c r="D405" s="10">
        <v>17955</v>
      </c>
    </row>
    <row r="406" spans="1:4">
      <c r="A406" t="s">
        <v>32</v>
      </c>
      <c r="B406" t="s">
        <v>269</v>
      </c>
      <c r="C406" s="9">
        <v>46057</v>
      </c>
      <c r="D406" s="10">
        <v>10543</v>
      </c>
    </row>
    <row r="407" spans="1:4">
      <c r="A407" t="s">
        <v>6</v>
      </c>
      <c r="B407" t="s">
        <v>274</v>
      </c>
      <c r="C407" s="9">
        <v>46057</v>
      </c>
      <c r="D407" s="10">
        <v>14167</v>
      </c>
    </row>
    <row r="408" spans="1:4">
      <c r="A408" t="s">
        <v>7</v>
      </c>
      <c r="B408" t="s">
        <v>267</v>
      </c>
      <c r="C408" s="9">
        <v>46057</v>
      </c>
      <c r="D408" s="10">
        <v>29291</v>
      </c>
    </row>
    <row r="409" spans="1:4">
      <c r="A409" t="s">
        <v>37</v>
      </c>
      <c r="B409" t="s">
        <v>164</v>
      </c>
      <c r="C409" s="9">
        <v>46057</v>
      </c>
      <c r="D409" s="10">
        <v>13375</v>
      </c>
    </row>
    <row r="410" spans="1:4">
      <c r="A410" t="s">
        <v>9</v>
      </c>
      <c r="B410" t="s">
        <v>276</v>
      </c>
      <c r="C410" s="9">
        <v>46057</v>
      </c>
      <c r="D410" s="10">
        <v>25564</v>
      </c>
    </row>
    <row r="411" spans="1:4">
      <c r="A411" t="s">
        <v>9</v>
      </c>
      <c r="B411" t="s">
        <v>292</v>
      </c>
      <c r="C411" s="9">
        <v>46057</v>
      </c>
      <c r="D411" s="10">
        <v>40997</v>
      </c>
    </row>
    <row r="412" spans="1:4">
      <c r="A412" t="s">
        <v>5</v>
      </c>
      <c r="B412" t="s">
        <v>93</v>
      </c>
      <c r="C412" s="9">
        <v>46057</v>
      </c>
      <c r="D412" s="10">
        <v>43924</v>
      </c>
    </row>
    <row r="413" spans="1:4">
      <c r="A413" t="s">
        <v>5</v>
      </c>
      <c r="B413" t="s">
        <v>284</v>
      </c>
      <c r="C413" s="9">
        <v>46057</v>
      </c>
      <c r="D413" s="10">
        <v>41632</v>
      </c>
    </row>
    <row r="414" spans="1:4">
      <c r="A414" t="s">
        <v>5</v>
      </c>
      <c r="B414" t="s">
        <v>136</v>
      </c>
      <c r="C414" s="9">
        <v>46057</v>
      </c>
      <c r="D414" s="10">
        <v>42300</v>
      </c>
    </row>
    <row r="415" spans="1:4">
      <c r="A415" t="s">
        <v>5</v>
      </c>
      <c r="B415" t="s">
        <v>198</v>
      </c>
      <c r="C415" s="9">
        <v>46057</v>
      </c>
      <c r="D415" s="10">
        <v>48053</v>
      </c>
    </row>
    <row r="416" spans="1:4">
      <c r="A416" t="s">
        <v>5</v>
      </c>
      <c r="B416" t="s">
        <v>122</v>
      </c>
      <c r="C416" s="9">
        <v>46057</v>
      </c>
      <c r="D416" s="10">
        <v>40273</v>
      </c>
    </row>
    <row r="417" spans="1:4">
      <c r="A417" t="s">
        <v>5</v>
      </c>
      <c r="B417" t="s">
        <v>258</v>
      </c>
      <c r="C417" s="9">
        <v>46057</v>
      </c>
      <c r="D417" s="10">
        <v>38874</v>
      </c>
    </row>
    <row r="418" spans="1:4">
      <c r="A418" t="s">
        <v>5</v>
      </c>
      <c r="B418" t="s">
        <v>258</v>
      </c>
      <c r="C418" s="9">
        <v>46057</v>
      </c>
      <c r="D418" s="10">
        <v>45203</v>
      </c>
    </row>
    <row r="419" spans="1:4">
      <c r="A419" t="s">
        <v>5</v>
      </c>
      <c r="B419" t="s">
        <v>178</v>
      </c>
      <c r="C419" s="9">
        <v>46057</v>
      </c>
      <c r="D419" s="10">
        <v>65901</v>
      </c>
    </row>
    <row r="420" spans="1:4">
      <c r="A420" t="s">
        <v>4</v>
      </c>
      <c r="B420" t="s">
        <v>63</v>
      </c>
      <c r="C420" s="9">
        <v>46058</v>
      </c>
      <c r="D420" s="10">
        <v>37040</v>
      </c>
    </row>
    <row r="421" spans="1:4">
      <c r="A421" t="s">
        <v>4</v>
      </c>
      <c r="B421" t="s">
        <v>104</v>
      </c>
      <c r="C421" s="9">
        <v>46058</v>
      </c>
      <c r="D421" s="10">
        <v>24661</v>
      </c>
    </row>
    <row r="422" spans="1:4">
      <c r="A422" t="s">
        <v>4</v>
      </c>
      <c r="B422" t="s">
        <v>72</v>
      </c>
      <c r="C422" s="9">
        <v>46058</v>
      </c>
      <c r="D422" s="10">
        <v>23229</v>
      </c>
    </row>
    <row r="423" spans="1:4">
      <c r="A423" t="s">
        <v>25</v>
      </c>
      <c r="B423" t="s">
        <v>147</v>
      </c>
      <c r="C423" s="9">
        <v>46058</v>
      </c>
      <c r="D423" s="10">
        <v>18164</v>
      </c>
    </row>
    <row r="424" spans="1:4">
      <c r="A424" t="s">
        <v>9</v>
      </c>
      <c r="B424" t="s">
        <v>90</v>
      </c>
      <c r="C424" s="9">
        <v>46058</v>
      </c>
      <c r="D424" s="10">
        <v>32073</v>
      </c>
    </row>
    <row r="425" spans="1:4">
      <c r="A425" t="s">
        <v>5</v>
      </c>
      <c r="B425" t="s">
        <v>116</v>
      </c>
      <c r="C425" s="9">
        <v>46058</v>
      </c>
      <c r="D425" s="10">
        <v>42566</v>
      </c>
    </row>
    <row r="426" spans="1:4">
      <c r="A426" t="s">
        <v>5</v>
      </c>
      <c r="B426" t="s">
        <v>77</v>
      </c>
      <c r="C426" s="9">
        <v>46058</v>
      </c>
      <c r="D426" s="10">
        <v>43100</v>
      </c>
    </row>
    <row r="427" spans="1:4">
      <c r="A427" t="s">
        <v>5</v>
      </c>
      <c r="B427" t="s">
        <v>211</v>
      </c>
      <c r="C427" s="9">
        <v>46058</v>
      </c>
      <c r="D427" s="10">
        <v>50015</v>
      </c>
    </row>
    <row r="428" spans="1:4">
      <c r="A428" t="s">
        <v>5</v>
      </c>
      <c r="B428" t="s">
        <v>94</v>
      </c>
      <c r="C428" s="9">
        <v>46058</v>
      </c>
      <c r="D428" s="10">
        <v>54588</v>
      </c>
    </row>
    <row r="429" spans="1:4">
      <c r="A429" t="s">
        <v>5</v>
      </c>
      <c r="B429" t="s">
        <v>121</v>
      </c>
      <c r="C429" s="9">
        <v>46058</v>
      </c>
      <c r="D429" s="10">
        <v>48117</v>
      </c>
    </row>
    <row r="430" spans="1:4">
      <c r="A430" t="s">
        <v>5</v>
      </c>
      <c r="B430" t="s">
        <v>136</v>
      </c>
      <c r="C430" s="9">
        <v>46058</v>
      </c>
      <c r="D430" s="10">
        <v>32233</v>
      </c>
    </row>
    <row r="431" spans="1:4">
      <c r="A431" t="s">
        <v>5</v>
      </c>
      <c r="B431" t="s">
        <v>109</v>
      </c>
      <c r="C431" s="9">
        <v>46058</v>
      </c>
      <c r="D431" s="10">
        <v>42216</v>
      </c>
    </row>
    <row r="432" spans="1:4">
      <c r="A432" t="s">
        <v>5</v>
      </c>
      <c r="B432" t="s">
        <v>79</v>
      </c>
      <c r="C432" s="9">
        <v>46058</v>
      </c>
      <c r="D432" s="10">
        <v>39794</v>
      </c>
    </row>
    <row r="433" spans="1:4">
      <c r="A433" t="s">
        <v>5</v>
      </c>
      <c r="B433" t="s">
        <v>70</v>
      </c>
      <c r="C433" s="9">
        <v>46058</v>
      </c>
      <c r="D433" s="10">
        <v>41068</v>
      </c>
    </row>
    <row r="434" spans="1:4">
      <c r="A434" t="s">
        <v>4</v>
      </c>
      <c r="B434" t="s">
        <v>224</v>
      </c>
      <c r="C434" s="9">
        <v>46059</v>
      </c>
      <c r="D434" s="10">
        <v>41869</v>
      </c>
    </row>
    <row r="435" spans="1:4">
      <c r="A435" t="s">
        <v>4</v>
      </c>
      <c r="B435" t="s">
        <v>111</v>
      </c>
      <c r="C435" s="9">
        <v>46059</v>
      </c>
      <c r="D435" s="10">
        <v>34212</v>
      </c>
    </row>
    <row r="436" spans="1:4">
      <c r="A436" t="s">
        <v>25</v>
      </c>
      <c r="B436" t="s">
        <v>190</v>
      </c>
      <c r="C436" s="9">
        <v>46059</v>
      </c>
      <c r="D436" s="10">
        <v>17113</v>
      </c>
    </row>
    <row r="437" spans="1:4">
      <c r="A437" t="s">
        <v>25</v>
      </c>
      <c r="B437" t="s">
        <v>273</v>
      </c>
      <c r="C437" s="9">
        <v>46059</v>
      </c>
      <c r="D437" s="10">
        <v>13102</v>
      </c>
    </row>
    <row r="438" spans="1:4">
      <c r="A438" t="s">
        <v>26</v>
      </c>
      <c r="B438" t="s">
        <v>260</v>
      </c>
      <c r="C438" s="9">
        <v>46059</v>
      </c>
      <c r="D438" s="10">
        <v>14700</v>
      </c>
    </row>
    <row r="439" spans="1:4">
      <c r="A439" t="s">
        <v>8</v>
      </c>
      <c r="B439" t="s">
        <v>232</v>
      </c>
      <c r="C439" s="9">
        <v>46059</v>
      </c>
      <c r="D439" s="10">
        <v>22344</v>
      </c>
    </row>
    <row r="440" spans="1:4">
      <c r="A440" t="s">
        <v>33</v>
      </c>
      <c r="B440" t="s">
        <v>98</v>
      </c>
      <c r="C440" s="9">
        <v>46059</v>
      </c>
      <c r="D440" s="10">
        <v>5200</v>
      </c>
    </row>
    <row r="441" spans="1:4">
      <c r="A441" t="s">
        <v>7</v>
      </c>
      <c r="B441" t="s">
        <v>219</v>
      </c>
      <c r="C441" s="9">
        <v>46059</v>
      </c>
      <c r="D441" s="10">
        <v>5200</v>
      </c>
    </row>
    <row r="442" spans="1:4">
      <c r="A442" t="s">
        <v>7</v>
      </c>
      <c r="B442" t="s">
        <v>91</v>
      </c>
      <c r="C442" s="9">
        <v>46059</v>
      </c>
      <c r="D442" s="10">
        <v>24671</v>
      </c>
    </row>
    <row r="443" spans="1:4">
      <c r="A443" t="s">
        <v>7</v>
      </c>
      <c r="B443" t="s">
        <v>245</v>
      </c>
      <c r="C443" s="9">
        <v>46059</v>
      </c>
      <c r="D443" s="10">
        <v>40025</v>
      </c>
    </row>
    <row r="444" spans="1:4">
      <c r="A444" t="s">
        <v>9</v>
      </c>
      <c r="B444" t="s">
        <v>191</v>
      </c>
      <c r="C444" s="9">
        <v>46059</v>
      </c>
      <c r="D444" s="10">
        <v>9839</v>
      </c>
    </row>
    <row r="445" spans="1:4">
      <c r="A445" t="s">
        <v>9</v>
      </c>
      <c r="B445" t="s">
        <v>223</v>
      </c>
      <c r="C445" s="9">
        <v>46059</v>
      </c>
      <c r="D445" s="10">
        <v>35894</v>
      </c>
    </row>
    <row r="446" spans="1:4">
      <c r="A446" t="s">
        <v>5</v>
      </c>
      <c r="B446" t="s">
        <v>116</v>
      </c>
      <c r="C446" s="9">
        <v>46059</v>
      </c>
      <c r="D446" s="10">
        <v>39875</v>
      </c>
    </row>
    <row r="447" spans="1:4">
      <c r="A447" t="s">
        <v>5</v>
      </c>
      <c r="B447" t="s">
        <v>175</v>
      </c>
      <c r="C447" s="9">
        <v>46059</v>
      </c>
      <c r="D447" s="10">
        <v>35162</v>
      </c>
    </row>
    <row r="448" spans="1:4">
      <c r="A448" t="s">
        <v>5</v>
      </c>
      <c r="B448" t="s">
        <v>178</v>
      </c>
      <c r="C448" s="9">
        <v>46059</v>
      </c>
      <c r="D448" s="10">
        <v>58650</v>
      </c>
    </row>
    <row r="449" spans="1:4">
      <c r="A449" t="s">
        <v>4</v>
      </c>
      <c r="B449" t="s">
        <v>124</v>
      </c>
      <c r="C449" s="9">
        <v>46060</v>
      </c>
      <c r="D449" s="10">
        <v>35459</v>
      </c>
    </row>
    <row r="450" spans="1:4">
      <c r="A450" t="s">
        <v>4</v>
      </c>
      <c r="B450" t="s">
        <v>188</v>
      </c>
      <c r="C450" s="9">
        <v>46060</v>
      </c>
      <c r="D450" s="10">
        <v>34582</v>
      </c>
    </row>
    <row r="451" spans="1:4">
      <c r="A451" t="s">
        <v>28</v>
      </c>
      <c r="B451" t="s">
        <v>148</v>
      </c>
      <c r="C451" s="9">
        <v>46060</v>
      </c>
      <c r="D451" s="10">
        <v>10030</v>
      </c>
    </row>
    <row r="452" spans="1:4">
      <c r="A452" t="s">
        <v>9</v>
      </c>
      <c r="B452" t="s">
        <v>151</v>
      </c>
      <c r="C452" s="9">
        <v>46060</v>
      </c>
      <c r="D452" s="10">
        <v>43886</v>
      </c>
    </row>
    <row r="453" spans="1:4">
      <c r="A453" t="s">
        <v>9</v>
      </c>
      <c r="B453" t="s">
        <v>293</v>
      </c>
      <c r="C453" s="9">
        <v>46060</v>
      </c>
      <c r="D453" s="10">
        <v>47521</v>
      </c>
    </row>
    <row r="454" spans="1:4">
      <c r="A454" t="s">
        <v>5</v>
      </c>
      <c r="B454" t="s">
        <v>135</v>
      </c>
      <c r="C454" s="9">
        <v>46060</v>
      </c>
      <c r="D454" s="10">
        <v>32117</v>
      </c>
    </row>
    <row r="455" spans="1:4">
      <c r="A455" t="s">
        <v>5</v>
      </c>
      <c r="B455" t="s">
        <v>77</v>
      </c>
      <c r="C455" s="9">
        <v>46060</v>
      </c>
      <c r="D455" s="10">
        <v>44312</v>
      </c>
    </row>
    <row r="456" spans="1:4">
      <c r="A456" t="s">
        <v>5</v>
      </c>
      <c r="B456" t="s">
        <v>272</v>
      </c>
      <c r="C456" s="9">
        <v>46060</v>
      </c>
      <c r="D456" s="10">
        <v>29435</v>
      </c>
    </row>
    <row r="457" spans="1:4">
      <c r="A457" t="s">
        <v>5</v>
      </c>
      <c r="B457" t="s">
        <v>210</v>
      </c>
      <c r="C457" s="9">
        <v>46060</v>
      </c>
      <c r="D457" s="10">
        <v>45832</v>
      </c>
    </row>
    <row r="458" spans="1:4">
      <c r="A458" t="s">
        <v>5</v>
      </c>
      <c r="B458" t="s">
        <v>210</v>
      </c>
      <c r="C458" s="9">
        <v>46060</v>
      </c>
      <c r="D458" s="10">
        <v>41795</v>
      </c>
    </row>
    <row r="459" spans="1:4">
      <c r="A459" t="s">
        <v>27</v>
      </c>
      <c r="B459" t="s">
        <v>200</v>
      </c>
      <c r="C459" s="9">
        <v>46061</v>
      </c>
      <c r="D459" s="10">
        <v>9774</v>
      </c>
    </row>
    <row r="460" spans="1:4">
      <c r="A460" t="s">
        <v>6</v>
      </c>
      <c r="B460" t="s">
        <v>113</v>
      </c>
      <c r="C460" s="9">
        <v>46061</v>
      </c>
      <c r="D460" s="10">
        <v>19866</v>
      </c>
    </row>
    <row r="461" spans="1:4">
      <c r="A461" t="s">
        <v>6</v>
      </c>
      <c r="B461" t="s">
        <v>74</v>
      </c>
      <c r="C461" s="9">
        <v>46061</v>
      </c>
      <c r="D461" s="10">
        <v>21165</v>
      </c>
    </row>
    <row r="462" spans="1:4">
      <c r="A462" t="s">
        <v>33</v>
      </c>
      <c r="B462" t="s">
        <v>244</v>
      </c>
      <c r="C462" s="9">
        <v>46061</v>
      </c>
      <c r="D462" s="10">
        <v>9668</v>
      </c>
    </row>
    <row r="463" spans="1:4">
      <c r="A463" t="s">
        <v>9</v>
      </c>
      <c r="B463" t="s">
        <v>75</v>
      </c>
      <c r="C463" s="9">
        <v>46061</v>
      </c>
      <c r="D463" s="10">
        <v>22153</v>
      </c>
    </row>
    <row r="464" spans="1:4">
      <c r="A464" t="s">
        <v>9</v>
      </c>
      <c r="B464" t="s">
        <v>91</v>
      </c>
      <c r="C464" s="9">
        <v>46061</v>
      </c>
      <c r="D464" s="10">
        <v>27312</v>
      </c>
    </row>
    <row r="465" spans="1:4">
      <c r="A465" t="s">
        <v>5</v>
      </c>
      <c r="B465" t="s">
        <v>134</v>
      </c>
      <c r="C465" s="9">
        <v>46061</v>
      </c>
      <c r="D465" s="10">
        <v>27764</v>
      </c>
    </row>
    <row r="466" spans="1:4">
      <c r="A466" t="s">
        <v>5</v>
      </c>
      <c r="B466" t="s">
        <v>107</v>
      </c>
      <c r="C466" s="9">
        <v>46061</v>
      </c>
      <c r="D466" s="10">
        <v>41926</v>
      </c>
    </row>
    <row r="467" spans="1:4">
      <c r="A467" t="s">
        <v>5</v>
      </c>
      <c r="B467" t="s">
        <v>94</v>
      </c>
      <c r="C467" s="9">
        <v>46061</v>
      </c>
      <c r="D467" s="10">
        <v>39945</v>
      </c>
    </row>
    <row r="468" spans="1:4">
      <c r="A468" t="s">
        <v>5</v>
      </c>
      <c r="B468" t="s">
        <v>69</v>
      </c>
      <c r="C468" s="9">
        <v>46061</v>
      </c>
      <c r="D468" s="10">
        <v>38435</v>
      </c>
    </row>
    <row r="469" spans="1:4">
      <c r="A469" t="s">
        <v>5</v>
      </c>
      <c r="B469" t="s">
        <v>71</v>
      </c>
      <c r="C469" s="9">
        <v>46061</v>
      </c>
      <c r="D469" s="10">
        <v>44775</v>
      </c>
    </row>
    <row r="470" spans="1:4">
      <c r="A470" t="s">
        <v>35</v>
      </c>
      <c r="B470" t="s">
        <v>246</v>
      </c>
      <c r="C470" s="9">
        <v>46062</v>
      </c>
      <c r="D470" s="10">
        <v>5200</v>
      </c>
    </row>
    <row r="471" spans="1:4">
      <c r="A471" t="s">
        <v>4</v>
      </c>
      <c r="B471" t="s">
        <v>207</v>
      </c>
      <c r="C471" s="9">
        <v>46062</v>
      </c>
      <c r="D471" s="10">
        <v>33489</v>
      </c>
    </row>
    <row r="472" spans="1:4">
      <c r="A472" t="s">
        <v>4</v>
      </c>
      <c r="B472" t="s">
        <v>285</v>
      </c>
      <c r="C472" s="9">
        <v>46062</v>
      </c>
      <c r="D472" s="10">
        <v>31536</v>
      </c>
    </row>
    <row r="473" spans="1:4">
      <c r="A473" t="s">
        <v>4</v>
      </c>
      <c r="B473" t="s">
        <v>230</v>
      </c>
      <c r="C473" s="9">
        <v>46062</v>
      </c>
      <c r="D473" s="10">
        <v>48308</v>
      </c>
    </row>
    <row r="474" spans="1:4">
      <c r="A474" t="s">
        <v>4</v>
      </c>
      <c r="B474" t="s">
        <v>235</v>
      </c>
      <c r="C474" s="9">
        <v>46062</v>
      </c>
      <c r="D474" s="10">
        <v>28377</v>
      </c>
    </row>
    <row r="475" spans="1:4">
      <c r="A475" t="s">
        <v>25</v>
      </c>
      <c r="B475" t="s">
        <v>251</v>
      </c>
      <c r="C475" s="9">
        <v>46062</v>
      </c>
      <c r="D475" s="10">
        <v>5332</v>
      </c>
    </row>
    <row r="476" spans="1:4">
      <c r="A476" t="s">
        <v>7</v>
      </c>
      <c r="B476" t="s">
        <v>282</v>
      </c>
      <c r="C476" s="9">
        <v>46062</v>
      </c>
      <c r="D476" s="10">
        <v>23068</v>
      </c>
    </row>
    <row r="477" spans="1:4">
      <c r="A477" t="s">
        <v>7</v>
      </c>
      <c r="B477" t="s">
        <v>64</v>
      </c>
      <c r="C477" s="9">
        <v>46062</v>
      </c>
      <c r="D477" s="10">
        <v>21033</v>
      </c>
    </row>
    <row r="478" spans="1:4">
      <c r="A478" t="s">
        <v>7</v>
      </c>
      <c r="B478" t="s">
        <v>162</v>
      </c>
      <c r="C478" s="9">
        <v>46062</v>
      </c>
      <c r="D478" s="10">
        <v>25298</v>
      </c>
    </row>
    <row r="479" spans="1:4">
      <c r="A479" t="s">
        <v>7</v>
      </c>
      <c r="B479" t="s">
        <v>241</v>
      </c>
      <c r="C479" s="9">
        <v>46062</v>
      </c>
      <c r="D479" s="10">
        <v>16453</v>
      </c>
    </row>
    <row r="480" spans="1:4">
      <c r="A480" t="s">
        <v>9</v>
      </c>
      <c r="B480" t="s">
        <v>205</v>
      </c>
      <c r="C480" s="9">
        <v>46062</v>
      </c>
      <c r="D480" s="10">
        <v>30774</v>
      </c>
    </row>
    <row r="481" spans="1:4">
      <c r="A481" t="s">
        <v>9</v>
      </c>
      <c r="B481" t="s">
        <v>174</v>
      </c>
      <c r="C481" s="9">
        <v>46062</v>
      </c>
      <c r="D481" s="10">
        <v>29051</v>
      </c>
    </row>
    <row r="482" spans="1:4">
      <c r="A482" t="s">
        <v>5</v>
      </c>
      <c r="B482" t="s">
        <v>141</v>
      </c>
      <c r="C482" s="9">
        <v>46062</v>
      </c>
      <c r="D482" s="10">
        <v>37336</v>
      </c>
    </row>
    <row r="483" spans="1:4">
      <c r="A483" t="s">
        <v>5</v>
      </c>
      <c r="B483" t="s">
        <v>121</v>
      </c>
      <c r="C483" s="9">
        <v>46062</v>
      </c>
      <c r="D483" s="10">
        <v>40155</v>
      </c>
    </row>
    <row r="484" spans="1:4">
      <c r="A484" t="s">
        <v>5</v>
      </c>
      <c r="B484" t="s">
        <v>175</v>
      </c>
      <c r="C484" s="9">
        <v>46062</v>
      </c>
      <c r="D484" s="10">
        <v>44473</v>
      </c>
    </row>
    <row r="485" spans="1:4">
      <c r="A485" t="s">
        <v>5</v>
      </c>
      <c r="B485" t="s">
        <v>70</v>
      </c>
      <c r="C485" s="9">
        <v>46062</v>
      </c>
      <c r="D485" s="10">
        <v>36488</v>
      </c>
    </row>
    <row r="486" spans="1:4">
      <c r="A486" t="s">
        <v>27</v>
      </c>
      <c r="B486" t="s">
        <v>85</v>
      </c>
      <c r="C486" s="9">
        <v>46063</v>
      </c>
      <c r="D486" s="10">
        <v>14848</v>
      </c>
    </row>
    <row r="487" spans="1:4">
      <c r="A487" t="s">
        <v>27</v>
      </c>
      <c r="B487" t="s">
        <v>96</v>
      </c>
      <c r="C487" s="9">
        <v>46063</v>
      </c>
      <c r="D487" s="10">
        <v>5200</v>
      </c>
    </row>
    <row r="488" spans="1:4">
      <c r="A488" t="s">
        <v>4</v>
      </c>
      <c r="B488" t="s">
        <v>239</v>
      </c>
      <c r="C488" s="9">
        <v>46063</v>
      </c>
      <c r="D488" s="10">
        <v>28507</v>
      </c>
    </row>
    <row r="489" spans="1:4">
      <c r="A489" t="s">
        <v>25</v>
      </c>
      <c r="B489" t="s">
        <v>59</v>
      </c>
      <c r="C489" s="9">
        <v>46063</v>
      </c>
      <c r="D489" s="10">
        <v>5200</v>
      </c>
    </row>
    <row r="490" spans="1:4">
      <c r="A490" t="s">
        <v>26</v>
      </c>
      <c r="B490" t="s">
        <v>189</v>
      </c>
      <c r="C490" s="9">
        <v>46063</v>
      </c>
      <c r="D490" s="10">
        <v>27377</v>
      </c>
    </row>
    <row r="491" spans="1:4">
      <c r="A491" t="s">
        <v>9</v>
      </c>
      <c r="B491" t="s">
        <v>268</v>
      </c>
      <c r="C491" s="9">
        <v>46063</v>
      </c>
      <c r="D491" s="10">
        <v>30829</v>
      </c>
    </row>
    <row r="492" spans="1:4">
      <c r="A492" t="s">
        <v>9</v>
      </c>
      <c r="B492" t="s">
        <v>268</v>
      </c>
      <c r="C492" s="9">
        <v>46063</v>
      </c>
      <c r="D492" s="10">
        <v>28364</v>
      </c>
    </row>
    <row r="493" spans="1:4">
      <c r="A493" t="s">
        <v>9</v>
      </c>
      <c r="B493" t="s">
        <v>106</v>
      </c>
      <c r="C493" s="9">
        <v>46063</v>
      </c>
      <c r="D493" s="10">
        <v>27416</v>
      </c>
    </row>
    <row r="494" spans="1:4">
      <c r="A494" t="s">
        <v>5</v>
      </c>
      <c r="B494" t="s">
        <v>93</v>
      </c>
      <c r="C494" s="9">
        <v>46063</v>
      </c>
      <c r="D494" s="10">
        <v>40686</v>
      </c>
    </row>
    <row r="495" spans="1:4">
      <c r="A495" t="s">
        <v>5</v>
      </c>
      <c r="B495" t="s">
        <v>272</v>
      </c>
      <c r="C495" s="9">
        <v>46063</v>
      </c>
      <c r="D495" s="10">
        <v>39336</v>
      </c>
    </row>
    <row r="496" spans="1:4">
      <c r="A496" t="s">
        <v>5</v>
      </c>
      <c r="B496" t="s">
        <v>78</v>
      </c>
      <c r="C496" s="9">
        <v>46063</v>
      </c>
      <c r="D496" s="10">
        <v>53145</v>
      </c>
    </row>
    <row r="497" spans="1:4">
      <c r="A497" t="s">
        <v>5</v>
      </c>
      <c r="B497" t="s">
        <v>95</v>
      </c>
      <c r="C497" s="9">
        <v>46063</v>
      </c>
      <c r="D497" s="10">
        <v>52550</v>
      </c>
    </row>
    <row r="498" spans="1:4">
      <c r="A498" t="s">
        <v>5</v>
      </c>
      <c r="B498" t="s">
        <v>109</v>
      </c>
      <c r="C498" s="9">
        <v>46063</v>
      </c>
      <c r="D498" s="10">
        <v>38325</v>
      </c>
    </row>
    <row r="499" spans="1:4">
      <c r="A499" t="s">
        <v>5</v>
      </c>
      <c r="B499" t="s">
        <v>70</v>
      </c>
      <c r="C499" s="9">
        <v>46063</v>
      </c>
      <c r="D499" s="10">
        <v>43188</v>
      </c>
    </row>
    <row r="500" spans="1:4">
      <c r="A500" t="s">
        <v>27</v>
      </c>
      <c r="B500" t="s">
        <v>97</v>
      </c>
      <c r="C500" s="9">
        <v>46064</v>
      </c>
      <c r="D500" s="10">
        <v>14759</v>
      </c>
    </row>
    <row r="501" spans="1:4">
      <c r="A501" t="s">
        <v>25</v>
      </c>
      <c r="B501" t="s">
        <v>126</v>
      </c>
      <c r="C501" s="9">
        <v>46064</v>
      </c>
      <c r="D501" s="10">
        <v>21495</v>
      </c>
    </row>
    <row r="502" spans="1:4">
      <c r="A502" t="s">
        <v>28</v>
      </c>
      <c r="B502" t="s">
        <v>255</v>
      </c>
      <c r="C502" s="9">
        <v>46064</v>
      </c>
      <c r="D502" s="10">
        <v>13915</v>
      </c>
    </row>
    <row r="503" spans="1:4">
      <c r="A503" t="s">
        <v>30</v>
      </c>
      <c r="B503" t="s">
        <v>202</v>
      </c>
      <c r="C503" s="9">
        <v>46064</v>
      </c>
      <c r="D503" s="10">
        <v>12020</v>
      </c>
    </row>
    <row r="504" spans="1:4">
      <c r="A504" t="s">
        <v>7</v>
      </c>
      <c r="B504" t="s">
        <v>264</v>
      </c>
      <c r="C504" s="9">
        <v>46064</v>
      </c>
      <c r="D504" s="10">
        <v>22452</v>
      </c>
    </row>
    <row r="505" spans="1:4">
      <c r="A505" t="s">
        <v>9</v>
      </c>
      <c r="B505" t="s">
        <v>115</v>
      </c>
      <c r="C505" s="9">
        <v>46064</v>
      </c>
      <c r="D505" s="10">
        <v>28977</v>
      </c>
    </row>
    <row r="506" spans="1:4">
      <c r="A506" t="s">
        <v>5</v>
      </c>
      <c r="B506" t="s">
        <v>66</v>
      </c>
      <c r="C506" s="9">
        <v>46064</v>
      </c>
      <c r="D506" s="10">
        <v>23128</v>
      </c>
    </row>
    <row r="507" spans="1:4">
      <c r="A507" t="s">
        <v>5</v>
      </c>
      <c r="B507" t="s">
        <v>141</v>
      </c>
      <c r="C507" s="9">
        <v>46064</v>
      </c>
      <c r="D507" s="10">
        <v>35860</v>
      </c>
    </row>
    <row r="508" spans="1:4">
      <c r="A508" t="s">
        <v>5</v>
      </c>
      <c r="B508" t="s">
        <v>222</v>
      </c>
      <c r="C508" s="9">
        <v>46064</v>
      </c>
      <c r="D508" s="10">
        <v>35146</v>
      </c>
    </row>
    <row r="509" spans="1:4">
      <c r="A509" t="s">
        <v>5</v>
      </c>
      <c r="B509" t="s">
        <v>77</v>
      </c>
      <c r="C509" s="9">
        <v>46064</v>
      </c>
      <c r="D509" s="10">
        <v>39368</v>
      </c>
    </row>
    <row r="510" spans="1:4">
      <c r="A510" t="s">
        <v>5</v>
      </c>
      <c r="B510" t="s">
        <v>68</v>
      </c>
      <c r="C510" s="9">
        <v>46064</v>
      </c>
      <c r="D510" s="10">
        <v>51673</v>
      </c>
    </row>
    <row r="511" spans="1:4">
      <c r="A511" t="s">
        <v>5</v>
      </c>
      <c r="B511" t="s">
        <v>210</v>
      </c>
      <c r="C511" s="9">
        <v>46064</v>
      </c>
      <c r="D511" s="10">
        <v>44554</v>
      </c>
    </row>
    <row r="512" spans="1:4">
      <c r="A512" t="s">
        <v>27</v>
      </c>
      <c r="B512" t="s">
        <v>212</v>
      </c>
      <c r="C512" s="9">
        <v>46065</v>
      </c>
      <c r="D512" s="10">
        <v>5200</v>
      </c>
    </row>
    <row r="513" spans="1:4">
      <c r="A513" t="s">
        <v>4</v>
      </c>
      <c r="B513" t="s">
        <v>214</v>
      </c>
      <c r="C513" s="9">
        <v>46065</v>
      </c>
      <c r="D513" s="10">
        <v>29442</v>
      </c>
    </row>
    <row r="514" spans="1:4">
      <c r="A514" t="s">
        <v>4</v>
      </c>
      <c r="B514" t="s">
        <v>199</v>
      </c>
      <c r="C514" s="9">
        <v>46065</v>
      </c>
      <c r="D514" s="10">
        <v>52791</v>
      </c>
    </row>
    <row r="515" spans="1:4">
      <c r="A515" t="s">
        <v>4</v>
      </c>
      <c r="B515" t="s">
        <v>125</v>
      </c>
      <c r="C515" s="9">
        <v>46065</v>
      </c>
      <c r="D515" s="10">
        <v>34286</v>
      </c>
    </row>
    <row r="516" spans="1:4">
      <c r="A516" t="s">
        <v>26</v>
      </c>
      <c r="B516" t="s">
        <v>209</v>
      </c>
      <c r="C516" s="9">
        <v>46065</v>
      </c>
      <c r="D516" s="10">
        <v>8683</v>
      </c>
    </row>
    <row r="517" spans="1:4">
      <c r="A517" t="s">
        <v>30</v>
      </c>
      <c r="B517" t="s">
        <v>60</v>
      </c>
      <c r="C517" s="9">
        <v>46065</v>
      </c>
      <c r="D517" s="10">
        <v>15349</v>
      </c>
    </row>
    <row r="518" spans="1:4">
      <c r="A518" t="s">
        <v>6</v>
      </c>
      <c r="B518" t="s">
        <v>105</v>
      </c>
      <c r="C518" s="9">
        <v>46065</v>
      </c>
      <c r="D518" s="10">
        <v>34859</v>
      </c>
    </row>
    <row r="519" spans="1:4">
      <c r="A519" t="s">
        <v>7</v>
      </c>
      <c r="B519" t="s">
        <v>290</v>
      </c>
      <c r="C519" s="9">
        <v>46065</v>
      </c>
      <c r="D519" s="10">
        <v>24496</v>
      </c>
    </row>
    <row r="520" spans="1:4">
      <c r="A520" t="s">
        <v>7</v>
      </c>
      <c r="B520" t="s">
        <v>248</v>
      </c>
      <c r="C520" s="9">
        <v>46065</v>
      </c>
      <c r="D520" s="10">
        <v>13632</v>
      </c>
    </row>
    <row r="521" spans="1:4">
      <c r="A521" t="s">
        <v>9</v>
      </c>
      <c r="B521" t="s">
        <v>75</v>
      </c>
      <c r="C521" s="9">
        <v>46065</v>
      </c>
      <c r="D521" s="10">
        <v>22750</v>
      </c>
    </row>
    <row r="522" spans="1:4">
      <c r="A522" t="s">
        <v>9</v>
      </c>
      <c r="B522" t="s">
        <v>76</v>
      </c>
      <c r="C522" s="9">
        <v>46065</v>
      </c>
      <c r="D522" s="10">
        <v>27241</v>
      </c>
    </row>
    <row r="523" spans="1:4">
      <c r="A523" t="s">
        <v>5</v>
      </c>
      <c r="B523" t="s">
        <v>134</v>
      </c>
      <c r="C523" s="9">
        <v>46065</v>
      </c>
      <c r="D523" s="10">
        <v>32151</v>
      </c>
    </row>
    <row r="524" spans="1:4">
      <c r="A524" t="s">
        <v>5</v>
      </c>
      <c r="B524" t="s">
        <v>66</v>
      </c>
      <c r="C524" s="9">
        <v>46065</v>
      </c>
      <c r="D524" s="10">
        <v>36023</v>
      </c>
    </row>
    <row r="525" spans="1:4">
      <c r="A525" t="s">
        <v>5</v>
      </c>
      <c r="B525" t="s">
        <v>93</v>
      </c>
      <c r="C525" s="9">
        <v>46065</v>
      </c>
      <c r="D525" s="10">
        <v>31340</v>
      </c>
    </row>
    <row r="526" spans="1:4">
      <c r="A526" t="s">
        <v>5</v>
      </c>
      <c r="B526" t="s">
        <v>121</v>
      </c>
      <c r="C526" s="9">
        <v>46065</v>
      </c>
      <c r="D526" s="10">
        <v>37736</v>
      </c>
    </row>
    <row r="527" spans="1:4">
      <c r="A527" t="s">
        <v>5</v>
      </c>
      <c r="B527" t="s">
        <v>136</v>
      </c>
      <c r="C527" s="9">
        <v>46065</v>
      </c>
      <c r="D527" s="10">
        <v>39251</v>
      </c>
    </row>
    <row r="528" spans="1:4">
      <c r="A528" t="s">
        <v>5</v>
      </c>
      <c r="B528" t="s">
        <v>122</v>
      </c>
      <c r="C528" s="9">
        <v>46065</v>
      </c>
      <c r="D528" s="10">
        <v>43128</v>
      </c>
    </row>
    <row r="529" spans="1:4">
      <c r="A529" t="s">
        <v>5</v>
      </c>
      <c r="B529" t="s">
        <v>68</v>
      </c>
      <c r="C529" s="9">
        <v>46065</v>
      </c>
      <c r="D529" s="10">
        <v>42557</v>
      </c>
    </row>
    <row r="530" spans="1:4">
      <c r="A530" t="s">
        <v>5</v>
      </c>
      <c r="B530" t="s">
        <v>69</v>
      </c>
      <c r="C530" s="9">
        <v>46065</v>
      </c>
      <c r="D530" s="10">
        <v>32593</v>
      </c>
    </row>
    <row r="531" spans="1:4">
      <c r="A531" t="s">
        <v>4</v>
      </c>
      <c r="B531" t="s">
        <v>145</v>
      </c>
      <c r="C531" s="9">
        <v>46066</v>
      </c>
      <c r="D531" s="10">
        <v>37785</v>
      </c>
    </row>
    <row r="532" spans="1:4">
      <c r="A532" t="s">
        <v>4</v>
      </c>
      <c r="B532" t="s">
        <v>154</v>
      </c>
      <c r="C532" s="9">
        <v>46066</v>
      </c>
      <c r="D532" s="10">
        <v>25562</v>
      </c>
    </row>
    <row r="533" spans="1:4">
      <c r="A533" t="s">
        <v>31</v>
      </c>
      <c r="B533" t="s">
        <v>155</v>
      </c>
      <c r="C533" s="9">
        <v>46066</v>
      </c>
      <c r="D533" s="10">
        <v>9503</v>
      </c>
    </row>
    <row r="534" spans="1:4">
      <c r="A534" t="s">
        <v>26</v>
      </c>
      <c r="B534" t="s">
        <v>84</v>
      </c>
      <c r="C534" s="9">
        <v>46066</v>
      </c>
      <c r="D534" s="10">
        <v>13737</v>
      </c>
    </row>
    <row r="535" spans="1:4">
      <c r="A535" t="s">
        <v>26</v>
      </c>
      <c r="B535" t="s">
        <v>216</v>
      </c>
      <c r="C535" s="9">
        <v>46066</v>
      </c>
      <c r="D535" s="10">
        <v>15431</v>
      </c>
    </row>
    <row r="536" spans="1:4">
      <c r="A536" t="s">
        <v>7</v>
      </c>
      <c r="B536" t="s">
        <v>61</v>
      </c>
      <c r="C536" s="9">
        <v>46066</v>
      </c>
      <c r="D536" s="10">
        <v>25391</v>
      </c>
    </row>
    <row r="537" spans="1:4">
      <c r="A537" t="s">
        <v>7</v>
      </c>
      <c r="B537" t="s">
        <v>150</v>
      </c>
      <c r="C537" s="9">
        <v>46066</v>
      </c>
      <c r="D537" s="10">
        <v>21380</v>
      </c>
    </row>
    <row r="538" spans="1:4">
      <c r="A538" t="s">
        <v>7</v>
      </c>
      <c r="B538" t="s">
        <v>204</v>
      </c>
      <c r="C538" s="9">
        <v>46066</v>
      </c>
      <c r="D538" s="10">
        <v>20013</v>
      </c>
    </row>
    <row r="539" spans="1:4">
      <c r="A539" t="s">
        <v>9</v>
      </c>
      <c r="B539" t="s">
        <v>63</v>
      </c>
      <c r="C539" s="9">
        <v>46066</v>
      </c>
      <c r="D539" s="10">
        <v>38620</v>
      </c>
    </row>
    <row r="540" spans="1:4">
      <c r="A540" t="s">
        <v>9</v>
      </c>
      <c r="B540" t="s">
        <v>205</v>
      </c>
      <c r="C540" s="9">
        <v>46066</v>
      </c>
      <c r="D540" s="10">
        <v>42980</v>
      </c>
    </row>
    <row r="541" spans="1:4">
      <c r="A541" t="s">
        <v>9</v>
      </c>
      <c r="B541" t="s">
        <v>64</v>
      </c>
      <c r="C541" s="9">
        <v>46066</v>
      </c>
      <c r="D541" s="10">
        <v>29742</v>
      </c>
    </row>
    <row r="542" spans="1:4">
      <c r="A542" t="s">
        <v>9</v>
      </c>
      <c r="B542" t="s">
        <v>292</v>
      </c>
      <c r="C542" s="9">
        <v>46066</v>
      </c>
      <c r="D542" s="10">
        <v>34284</v>
      </c>
    </row>
    <row r="543" spans="1:4">
      <c r="A543" t="s">
        <v>9</v>
      </c>
      <c r="B543" t="s">
        <v>133</v>
      </c>
      <c r="C543" s="9">
        <v>46066</v>
      </c>
      <c r="D543" s="10">
        <v>28265</v>
      </c>
    </row>
    <row r="544" spans="1:4">
      <c r="A544" t="s">
        <v>5</v>
      </c>
      <c r="B544" t="s">
        <v>224</v>
      </c>
      <c r="C544" s="9">
        <v>46066</v>
      </c>
      <c r="D544" s="10">
        <v>52765</v>
      </c>
    </row>
    <row r="545" spans="1:4">
      <c r="A545" t="s">
        <v>5</v>
      </c>
      <c r="B545" t="s">
        <v>77</v>
      </c>
      <c r="C545" s="9">
        <v>46066</v>
      </c>
      <c r="D545" s="10">
        <v>45903</v>
      </c>
    </row>
    <row r="546" spans="1:4">
      <c r="A546" t="s">
        <v>5</v>
      </c>
      <c r="B546" t="s">
        <v>93</v>
      </c>
      <c r="C546" s="9">
        <v>46066</v>
      </c>
      <c r="D546" s="10">
        <v>29378</v>
      </c>
    </row>
    <row r="547" spans="1:4">
      <c r="A547" t="s">
        <v>5</v>
      </c>
      <c r="B547" t="s">
        <v>121</v>
      </c>
      <c r="C547" s="9">
        <v>46066</v>
      </c>
      <c r="D547" s="10">
        <v>50960</v>
      </c>
    </row>
    <row r="548" spans="1:4">
      <c r="A548" t="s">
        <v>5</v>
      </c>
      <c r="B548" t="s">
        <v>199</v>
      </c>
      <c r="C548" s="9">
        <v>46066</v>
      </c>
      <c r="D548" s="10">
        <v>33309</v>
      </c>
    </row>
    <row r="549" spans="1:4">
      <c r="A549" t="s">
        <v>5</v>
      </c>
      <c r="B549" t="s">
        <v>143</v>
      </c>
      <c r="C549" s="9">
        <v>46066</v>
      </c>
      <c r="D549" s="10">
        <v>27145</v>
      </c>
    </row>
    <row r="550" spans="1:4">
      <c r="A550" t="s">
        <v>5</v>
      </c>
      <c r="B550" t="s">
        <v>143</v>
      </c>
      <c r="C550" s="9">
        <v>46066</v>
      </c>
      <c r="D550" s="10">
        <v>35982</v>
      </c>
    </row>
    <row r="551" spans="1:4">
      <c r="A551" t="s">
        <v>5</v>
      </c>
      <c r="B551" t="s">
        <v>177</v>
      </c>
      <c r="C551" s="9">
        <v>46066</v>
      </c>
      <c r="D551" s="10">
        <v>43980</v>
      </c>
    </row>
    <row r="552" spans="1:4">
      <c r="A552" t="s">
        <v>27</v>
      </c>
      <c r="B552" t="s">
        <v>185</v>
      </c>
      <c r="C552" s="9">
        <v>46067</v>
      </c>
      <c r="D552" s="10">
        <v>13811</v>
      </c>
    </row>
    <row r="553" spans="1:4">
      <c r="A553" t="s">
        <v>4</v>
      </c>
      <c r="B553" t="s">
        <v>165</v>
      </c>
      <c r="C553" s="9">
        <v>46067</v>
      </c>
      <c r="D553" s="10">
        <v>35378</v>
      </c>
    </row>
    <row r="554" spans="1:4">
      <c r="A554" t="s">
        <v>4</v>
      </c>
      <c r="B554" t="s">
        <v>234</v>
      </c>
      <c r="C554" s="9">
        <v>46067</v>
      </c>
      <c r="D554" s="10">
        <v>22356</v>
      </c>
    </row>
    <row r="555" spans="1:4">
      <c r="A555" t="s">
        <v>4</v>
      </c>
      <c r="B555" t="s">
        <v>119</v>
      </c>
      <c r="C555" s="9">
        <v>46067</v>
      </c>
      <c r="D555" s="10">
        <v>30911</v>
      </c>
    </row>
    <row r="556" spans="1:4">
      <c r="A556" t="s">
        <v>30</v>
      </c>
      <c r="B556" t="s">
        <v>261</v>
      </c>
      <c r="C556" s="9">
        <v>46067</v>
      </c>
      <c r="D556" s="10">
        <v>11646</v>
      </c>
    </row>
    <row r="557" spans="1:4">
      <c r="A557" t="s">
        <v>32</v>
      </c>
      <c r="B557" t="s">
        <v>288</v>
      </c>
      <c r="C557" s="9">
        <v>46067</v>
      </c>
      <c r="D557" s="10">
        <v>12167</v>
      </c>
    </row>
    <row r="558" spans="1:4">
      <c r="A558" t="s">
        <v>6</v>
      </c>
      <c r="B558" t="s">
        <v>233</v>
      </c>
      <c r="C558" s="9">
        <v>46067</v>
      </c>
      <c r="D558" s="10">
        <v>19728</v>
      </c>
    </row>
    <row r="559" spans="1:4">
      <c r="A559" t="s">
        <v>9</v>
      </c>
      <c r="B559" t="s">
        <v>102</v>
      </c>
      <c r="C559" s="9">
        <v>46067</v>
      </c>
      <c r="D559" s="10">
        <v>32260</v>
      </c>
    </row>
    <row r="560" spans="1:4">
      <c r="A560" t="s">
        <v>9</v>
      </c>
      <c r="B560" t="s">
        <v>186</v>
      </c>
      <c r="C560" s="9">
        <v>46067</v>
      </c>
      <c r="D560" s="10">
        <v>30525</v>
      </c>
    </row>
    <row r="561" spans="1:4">
      <c r="A561" t="s">
        <v>9</v>
      </c>
      <c r="B561" t="s">
        <v>206</v>
      </c>
      <c r="C561" s="9">
        <v>46067</v>
      </c>
      <c r="D561" s="10">
        <v>46740</v>
      </c>
    </row>
    <row r="562" spans="1:4">
      <c r="A562" t="s">
        <v>5</v>
      </c>
      <c r="B562" t="s">
        <v>67</v>
      </c>
      <c r="C562" s="9">
        <v>46067</v>
      </c>
      <c r="D562" s="10">
        <v>44884</v>
      </c>
    </row>
    <row r="563" spans="1:4">
      <c r="A563" t="s">
        <v>5</v>
      </c>
      <c r="B563" t="s">
        <v>230</v>
      </c>
      <c r="C563" s="9">
        <v>46067</v>
      </c>
      <c r="D563" s="10">
        <v>36953</v>
      </c>
    </row>
    <row r="564" spans="1:4">
      <c r="A564" t="s">
        <v>30</v>
      </c>
      <c r="B564" t="s">
        <v>195</v>
      </c>
      <c r="C564" s="9">
        <v>46068</v>
      </c>
      <c r="D564" s="10">
        <v>12873</v>
      </c>
    </row>
    <row r="565" spans="1:4">
      <c r="A565" t="s">
        <v>8</v>
      </c>
      <c r="B565" t="s">
        <v>87</v>
      </c>
      <c r="C565" s="9">
        <v>46068</v>
      </c>
      <c r="D565" s="10">
        <v>23169</v>
      </c>
    </row>
    <row r="566" spans="1:4">
      <c r="A566" t="s">
        <v>32</v>
      </c>
      <c r="B566" t="s">
        <v>88</v>
      </c>
      <c r="C566" s="9">
        <v>46068</v>
      </c>
      <c r="D566" s="10">
        <v>11654</v>
      </c>
    </row>
    <row r="567" spans="1:4">
      <c r="A567" t="s">
        <v>7</v>
      </c>
      <c r="B567" t="s">
        <v>57</v>
      </c>
      <c r="C567" s="9">
        <v>46068</v>
      </c>
      <c r="D567" s="10">
        <v>35080</v>
      </c>
    </row>
    <row r="568" spans="1:4">
      <c r="A568" t="s">
        <v>7</v>
      </c>
      <c r="B568" t="s">
        <v>62</v>
      </c>
      <c r="C568" s="9">
        <v>46068</v>
      </c>
      <c r="D568" s="10">
        <v>34309</v>
      </c>
    </row>
    <row r="569" spans="1:4">
      <c r="A569" t="s">
        <v>9</v>
      </c>
      <c r="B569" t="s">
        <v>174</v>
      </c>
      <c r="C569" s="9">
        <v>46068</v>
      </c>
      <c r="D569" s="10">
        <v>29327</v>
      </c>
    </row>
    <row r="570" spans="1:4">
      <c r="A570" t="s">
        <v>9</v>
      </c>
      <c r="B570" t="s">
        <v>151</v>
      </c>
      <c r="C570" s="9">
        <v>46068</v>
      </c>
      <c r="D570" s="10">
        <v>39822</v>
      </c>
    </row>
    <row r="571" spans="1:4">
      <c r="A571" t="s">
        <v>9</v>
      </c>
      <c r="B571" t="s">
        <v>166</v>
      </c>
      <c r="C571" s="9">
        <v>46068</v>
      </c>
      <c r="D571" s="10">
        <v>31665</v>
      </c>
    </row>
    <row r="572" spans="1:4">
      <c r="A572" t="s">
        <v>9</v>
      </c>
      <c r="B572" t="s">
        <v>192</v>
      </c>
      <c r="C572" s="9">
        <v>46068</v>
      </c>
      <c r="D572" s="10">
        <v>40747</v>
      </c>
    </row>
    <row r="573" spans="1:4">
      <c r="A573" t="s">
        <v>5</v>
      </c>
      <c r="B573" t="s">
        <v>66</v>
      </c>
      <c r="C573" s="9">
        <v>46068</v>
      </c>
      <c r="D573" s="10">
        <v>37409</v>
      </c>
    </row>
    <row r="574" spans="1:4">
      <c r="A574" t="s">
        <v>5</v>
      </c>
      <c r="B574" t="s">
        <v>135</v>
      </c>
      <c r="C574" s="9">
        <v>46068</v>
      </c>
      <c r="D574" s="10">
        <v>32377</v>
      </c>
    </row>
    <row r="575" spans="1:4">
      <c r="A575" t="s">
        <v>5</v>
      </c>
      <c r="B575" t="s">
        <v>176</v>
      </c>
      <c r="C575" s="9">
        <v>46068</v>
      </c>
      <c r="D575" s="10">
        <v>38233</v>
      </c>
    </row>
    <row r="576" spans="1:4">
      <c r="A576" t="s">
        <v>5</v>
      </c>
      <c r="B576" t="s">
        <v>223</v>
      </c>
      <c r="C576" s="9">
        <v>46068</v>
      </c>
      <c r="D576" s="10">
        <v>36948</v>
      </c>
    </row>
    <row r="577" spans="1:4">
      <c r="A577" t="s">
        <v>4</v>
      </c>
      <c r="B577" t="s">
        <v>239</v>
      </c>
      <c r="C577" s="9">
        <v>46069</v>
      </c>
      <c r="D577" s="10">
        <v>28215</v>
      </c>
    </row>
    <row r="578" spans="1:4">
      <c r="A578" t="s">
        <v>4</v>
      </c>
      <c r="B578" t="s">
        <v>213</v>
      </c>
      <c r="C578" s="9">
        <v>46069</v>
      </c>
      <c r="D578" s="10">
        <v>43618</v>
      </c>
    </row>
    <row r="579" spans="1:4">
      <c r="A579" t="s">
        <v>6</v>
      </c>
      <c r="B579" t="s">
        <v>208</v>
      </c>
      <c r="C579" s="9">
        <v>46069</v>
      </c>
      <c r="D579" s="10">
        <v>23191</v>
      </c>
    </row>
    <row r="580" spans="1:4">
      <c r="A580" t="s">
        <v>29</v>
      </c>
      <c r="B580" t="s">
        <v>263</v>
      </c>
      <c r="C580" s="9">
        <v>46069</v>
      </c>
      <c r="D580" s="10">
        <v>13240</v>
      </c>
    </row>
    <row r="581" spans="1:4">
      <c r="A581" t="s">
        <v>9</v>
      </c>
      <c r="B581" t="s">
        <v>102</v>
      </c>
      <c r="C581" s="9">
        <v>46069</v>
      </c>
      <c r="D581" s="10">
        <v>30853</v>
      </c>
    </row>
    <row r="582" spans="1:4">
      <c r="A582" t="s">
        <v>5</v>
      </c>
      <c r="B582" t="s">
        <v>77</v>
      </c>
      <c r="C582" s="9">
        <v>46069</v>
      </c>
      <c r="D582" s="10">
        <v>44075</v>
      </c>
    </row>
    <row r="583" spans="1:4">
      <c r="A583" t="s">
        <v>5</v>
      </c>
      <c r="B583" t="s">
        <v>107</v>
      </c>
      <c r="C583" s="9">
        <v>46069</v>
      </c>
      <c r="D583" s="10">
        <v>39205</v>
      </c>
    </row>
    <row r="584" spans="1:4">
      <c r="A584" t="s">
        <v>5</v>
      </c>
      <c r="B584" t="s">
        <v>78</v>
      </c>
      <c r="C584" s="9">
        <v>46069</v>
      </c>
      <c r="D584" s="10">
        <v>41626</v>
      </c>
    </row>
    <row r="585" spans="1:4">
      <c r="A585" t="s">
        <v>5</v>
      </c>
      <c r="B585" t="s">
        <v>177</v>
      </c>
      <c r="C585" s="9">
        <v>46069</v>
      </c>
      <c r="D585" s="10">
        <v>40201</v>
      </c>
    </row>
    <row r="586" spans="1:4">
      <c r="A586" t="s">
        <v>4</v>
      </c>
      <c r="B586" t="s">
        <v>280</v>
      </c>
      <c r="C586" s="9">
        <v>46070</v>
      </c>
      <c r="D586" s="10">
        <v>22682</v>
      </c>
    </row>
    <row r="587" spans="1:4">
      <c r="A587" t="s">
        <v>25</v>
      </c>
      <c r="B587" t="s">
        <v>228</v>
      </c>
      <c r="C587" s="9">
        <v>46070</v>
      </c>
      <c r="D587" s="10">
        <v>20693</v>
      </c>
    </row>
    <row r="588" spans="1:4">
      <c r="A588" t="s">
        <v>25</v>
      </c>
      <c r="B588" t="s">
        <v>242</v>
      </c>
      <c r="C588" s="9">
        <v>46070</v>
      </c>
      <c r="D588" s="10">
        <v>13254</v>
      </c>
    </row>
    <row r="589" spans="1:4">
      <c r="A589" t="s">
        <v>30</v>
      </c>
      <c r="B589" t="s">
        <v>157</v>
      </c>
      <c r="C589" s="9">
        <v>46070</v>
      </c>
      <c r="D589" s="10">
        <v>12341</v>
      </c>
    </row>
    <row r="590" spans="1:4">
      <c r="A590" t="s">
        <v>6</v>
      </c>
      <c r="B590" t="s">
        <v>184</v>
      </c>
      <c r="C590" s="9">
        <v>46070</v>
      </c>
      <c r="D590" s="10">
        <v>18599</v>
      </c>
    </row>
    <row r="591" spans="1:4">
      <c r="A591" t="s">
        <v>7</v>
      </c>
      <c r="B591" t="s">
        <v>106</v>
      </c>
      <c r="C591" s="9">
        <v>46070</v>
      </c>
      <c r="D591" s="10">
        <v>34491</v>
      </c>
    </row>
    <row r="592" spans="1:4">
      <c r="A592" t="s">
        <v>5</v>
      </c>
      <c r="B592" t="s">
        <v>67</v>
      </c>
      <c r="C592" s="9">
        <v>46070</v>
      </c>
      <c r="D592" s="10">
        <v>47980</v>
      </c>
    </row>
    <row r="593" spans="1:4">
      <c r="A593" t="s">
        <v>5</v>
      </c>
      <c r="B593" t="s">
        <v>94</v>
      </c>
      <c r="C593" s="9">
        <v>46070</v>
      </c>
      <c r="D593" s="10">
        <v>36064</v>
      </c>
    </row>
    <row r="594" spans="1:4">
      <c r="A594" t="s">
        <v>4</v>
      </c>
      <c r="B594" t="s">
        <v>188</v>
      </c>
      <c r="C594" s="9">
        <v>46071</v>
      </c>
      <c r="D594" s="10">
        <v>25719</v>
      </c>
    </row>
    <row r="595" spans="1:4">
      <c r="A595" t="s">
        <v>25</v>
      </c>
      <c r="B595" t="s">
        <v>171</v>
      </c>
      <c r="C595" s="9">
        <v>46071</v>
      </c>
      <c r="D595" s="10">
        <v>13877</v>
      </c>
    </row>
    <row r="596" spans="1:4">
      <c r="A596" t="s">
        <v>34</v>
      </c>
      <c r="B596" t="s">
        <v>140</v>
      </c>
      <c r="C596" s="9">
        <v>46071</v>
      </c>
      <c r="D596" s="10">
        <v>13438</v>
      </c>
    </row>
    <row r="597" spans="1:4">
      <c r="A597" t="s">
        <v>6</v>
      </c>
      <c r="B597" t="s">
        <v>257</v>
      </c>
      <c r="C597" s="9">
        <v>46071</v>
      </c>
      <c r="D597" s="10">
        <v>14545</v>
      </c>
    </row>
    <row r="598" spans="1:4">
      <c r="A598" t="s">
        <v>29</v>
      </c>
      <c r="B598" t="s">
        <v>289</v>
      </c>
      <c r="C598" s="9">
        <v>46071</v>
      </c>
      <c r="D598" s="10">
        <v>11624</v>
      </c>
    </row>
    <row r="599" spans="1:4">
      <c r="A599" t="s">
        <v>29</v>
      </c>
      <c r="B599" t="s">
        <v>275</v>
      </c>
      <c r="C599" s="9">
        <v>46071</v>
      </c>
      <c r="D599" s="10">
        <v>14484</v>
      </c>
    </row>
    <row r="600" spans="1:4">
      <c r="A600" t="s">
        <v>9</v>
      </c>
      <c r="B600" t="s">
        <v>65</v>
      </c>
      <c r="C600" s="9">
        <v>46071</v>
      </c>
      <c r="D600" s="10">
        <v>11333</v>
      </c>
    </row>
    <row r="601" spans="1:4">
      <c r="A601" t="s">
        <v>9</v>
      </c>
      <c r="B601" t="s">
        <v>197</v>
      </c>
      <c r="C601" s="9">
        <v>46071</v>
      </c>
      <c r="D601" s="10">
        <v>40260</v>
      </c>
    </row>
    <row r="602" spans="1:4">
      <c r="A602" t="s">
        <v>5</v>
      </c>
      <c r="B602" t="s">
        <v>67</v>
      </c>
      <c r="C602" s="9">
        <v>46071</v>
      </c>
      <c r="D602" s="10">
        <v>54768</v>
      </c>
    </row>
    <row r="603" spans="1:4">
      <c r="A603" t="s">
        <v>5</v>
      </c>
      <c r="B603" t="s">
        <v>141</v>
      </c>
      <c r="C603" s="9">
        <v>46071</v>
      </c>
      <c r="D603" s="10">
        <v>39667</v>
      </c>
    </row>
    <row r="604" spans="1:4">
      <c r="A604" t="s">
        <v>5</v>
      </c>
      <c r="B604" t="s">
        <v>77</v>
      </c>
      <c r="C604" s="9">
        <v>46071</v>
      </c>
      <c r="D604" s="10">
        <v>33874</v>
      </c>
    </row>
    <row r="605" spans="1:4">
      <c r="A605" t="s">
        <v>5</v>
      </c>
      <c r="B605" t="s">
        <v>272</v>
      </c>
      <c r="C605" s="9">
        <v>46071</v>
      </c>
      <c r="D605" s="10">
        <v>39615</v>
      </c>
    </row>
    <row r="606" spans="1:4">
      <c r="A606" t="s">
        <v>5</v>
      </c>
      <c r="B606" t="s">
        <v>108</v>
      </c>
      <c r="C606" s="9">
        <v>46071</v>
      </c>
      <c r="D606" s="10">
        <v>40274</v>
      </c>
    </row>
    <row r="607" spans="1:4">
      <c r="A607" t="s">
        <v>5</v>
      </c>
      <c r="B607" t="s">
        <v>109</v>
      </c>
      <c r="C607" s="9">
        <v>46071</v>
      </c>
      <c r="D607" s="10">
        <v>52553</v>
      </c>
    </row>
    <row r="608" spans="1:4">
      <c r="A608" t="s">
        <v>5</v>
      </c>
      <c r="B608" t="s">
        <v>199</v>
      </c>
      <c r="C608" s="9">
        <v>46071</v>
      </c>
      <c r="D608" s="10">
        <v>40895</v>
      </c>
    </row>
    <row r="609" spans="1:4">
      <c r="A609" t="s">
        <v>5</v>
      </c>
      <c r="B609" t="s">
        <v>79</v>
      </c>
      <c r="C609" s="9">
        <v>46071</v>
      </c>
      <c r="D609" s="10">
        <v>31894</v>
      </c>
    </row>
    <row r="610" spans="1:4">
      <c r="A610" t="s">
        <v>5</v>
      </c>
      <c r="B610" t="s">
        <v>179</v>
      </c>
      <c r="C610" s="9">
        <v>46071</v>
      </c>
      <c r="D610" s="10">
        <v>51491</v>
      </c>
    </row>
    <row r="611" spans="1:4">
      <c r="A611" t="s">
        <v>27</v>
      </c>
      <c r="B611" t="s">
        <v>247</v>
      </c>
      <c r="C611" s="9">
        <v>46072</v>
      </c>
      <c r="D611" s="10">
        <v>12494</v>
      </c>
    </row>
    <row r="612" spans="1:4">
      <c r="A612" t="s">
        <v>4</v>
      </c>
      <c r="B612" t="s">
        <v>277</v>
      </c>
      <c r="C612" s="9">
        <v>46072</v>
      </c>
      <c r="D612" s="10">
        <v>29058</v>
      </c>
    </row>
    <row r="613" spans="1:4">
      <c r="A613" t="s">
        <v>4</v>
      </c>
      <c r="B613" t="s">
        <v>194</v>
      </c>
      <c r="C613" s="9">
        <v>46072</v>
      </c>
      <c r="D613" s="10">
        <v>44503</v>
      </c>
    </row>
    <row r="614" spans="1:4">
      <c r="A614" t="s">
        <v>31</v>
      </c>
      <c r="B614" t="s">
        <v>82</v>
      </c>
      <c r="C614" s="9">
        <v>46072</v>
      </c>
      <c r="D614" s="10">
        <v>5200</v>
      </c>
    </row>
    <row r="615" spans="1:4">
      <c r="A615" t="s">
        <v>25</v>
      </c>
      <c r="B615" t="s">
        <v>86</v>
      </c>
      <c r="C615" s="9">
        <v>46072</v>
      </c>
      <c r="D615" s="10">
        <v>14954</v>
      </c>
    </row>
    <row r="616" spans="1:4">
      <c r="A616" t="s">
        <v>26</v>
      </c>
      <c r="B616" t="s">
        <v>149</v>
      </c>
      <c r="C616" s="9">
        <v>46072</v>
      </c>
      <c r="D616" s="10">
        <v>15026</v>
      </c>
    </row>
    <row r="617" spans="1:4">
      <c r="A617" t="s">
        <v>26</v>
      </c>
      <c r="B617" t="s">
        <v>252</v>
      </c>
      <c r="C617" s="9">
        <v>46072</v>
      </c>
      <c r="D617" s="10">
        <v>15141</v>
      </c>
    </row>
    <row r="618" spans="1:4">
      <c r="A618" t="s">
        <v>32</v>
      </c>
      <c r="B618" t="s">
        <v>89</v>
      </c>
      <c r="C618" s="9">
        <v>46072</v>
      </c>
      <c r="D618" s="10">
        <v>11485</v>
      </c>
    </row>
    <row r="619" spans="1:4">
      <c r="A619" t="s">
        <v>6</v>
      </c>
      <c r="B619" t="s">
        <v>249</v>
      </c>
      <c r="C619" s="9">
        <v>46072</v>
      </c>
      <c r="D619" s="10">
        <v>14712</v>
      </c>
    </row>
    <row r="620" spans="1:4">
      <c r="A620" t="s">
        <v>6</v>
      </c>
      <c r="B620" t="s">
        <v>256</v>
      </c>
      <c r="C620" s="9">
        <v>46072</v>
      </c>
      <c r="D620" s="10">
        <v>34023</v>
      </c>
    </row>
    <row r="621" spans="1:4">
      <c r="A621" t="s">
        <v>5</v>
      </c>
      <c r="B621" t="s">
        <v>142</v>
      </c>
      <c r="C621" s="9">
        <v>46072</v>
      </c>
      <c r="D621" s="10">
        <v>43944</v>
      </c>
    </row>
    <row r="622" spans="1:4">
      <c r="A622" t="s">
        <v>5</v>
      </c>
      <c r="B622" t="s">
        <v>118</v>
      </c>
      <c r="C622" s="9">
        <v>46072</v>
      </c>
      <c r="D622" s="10">
        <v>48357</v>
      </c>
    </row>
    <row r="623" spans="1:4">
      <c r="A623" t="s">
        <v>5</v>
      </c>
      <c r="B623" t="s">
        <v>110</v>
      </c>
      <c r="C623" s="9">
        <v>46072</v>
      </c>
      <c r="D623" s="10">
        <v>30070</v>
      </c>
    </row>
    <row r="624" spans="1:4">
      <c r="A624" t="s">
        <v>5</v>
      </c>
      <c r="B624" t="s">
        <v>79</v>
      </c>
      <c r="C624" s="9">
        <v>46072</v>
      </c>
      <c r="D624" s="10">
        <v>34595</v>
      </c>
    </row>
    <row r="625" spans="1:4">
      <c r="A625" t="s">
        <v>4</v>
      </c>
      <c r="B625" t="s">
        <v>137</v>
      </c>
      <c r="C625" s="9">
        <v>46073</v>
      </c>
      <c r="D625" s="10">
        <v>33844</v>
      </c>
    </row>
    <row r="626" spans="1:4">
      <c r="A626" t="s">
        <v>30</v>
      </c>
      <c r="B626" t="s">
        <v>138</v>
      </c>
      <c r="C626" s="9">
        <v>46073</v>
      </c>
      <c r="D626" s="10">
        <v>13679</v>
      </c>
    </row>
    <row r="627" spans="1:4">
      <c r="A627" t="s">
        <v>7</v>
      </c>
      <c r="B627" t="s">
        <v>101</v>
      </c>
      <c r="C627" s="9">
        <v>46073</v>
      </c>
      <c r="D627" s="10">
        <v>26448</v>
      </c>
    </row>
    <row r="628" spans="1:4">
      <c r="A628" t="s">
        <v>5</v>
      </c>
      <c r="B628" t="s">
        <v>152</v>
      </c>
      <c r="C628" s="9">
        <v>46073</v>
      </c>
      <c r="D628" s="10">
        <v>40365</v>
      </c>
    </row>
    <row r="629" spans="1:4">
      <c r="A629" t="s">
        <v>38</v>
      </c>
      <c r="B629" t="s">
        <v>58</v>
      </c>
      <c r="C629" s="9">
        <v>46074</v>
      </c>
      <c r="D629" s="10">
        <v>12160</v>
      </c>
    </row>
    <row r="630" spans="1:4">
      <c r="A630" t="s">
        <v>4</v>
      </c>
      <c r="B630" t="s">
        <v>193</v>
      </c>
      <c r="C630" s="9">
        <v>46074</v>
      </c>
      <c r="D630" s="10">
        <v>48505</v>
      </c>
    </row>
    <row r="631" spans="1:4">
      <c r="A631" t="s">
        <v>25</v>
      </c>
      <c r="B631" t="s">
        <v>201</v>
      </c>
      <c r="C631" s="9">
        <v>46074</v>
      </c>
      <c r="D631" s="10">
        <v>13619</v>
      </c>
    </row>
    <row r="632" spans="1:4">
      <c r="A632" t="s">
        <v>28</v>
      </c>
      <c r="B632" t="s">
        <v>278</v>
      </c>
      <c r="C632" s="9">
        <v>46074</v>
      </c>
      <c r="D632" s="10">
        <v>23406</v>
      </c>
    </row>
    <row r="633" spans="1:4">
      <c r="A633" t="s">
        <v>8</v>
      </c>
      <c r="B633" t="s">
        <v>159</v>
      </c>
      <c r="C633" s="9">
        <v>46074</v>
      </c>
      <c r="D633" s="10">
        <v>14426</v>
      </c>
    </row>
    <row r="634" spans="1:4">
      <c r="A634" t="s">
        <v>8</v>
      </c>
      <c r="B634" t="s">
        <v>183</v>
      </c>
      <c r="C634" s="9">
        <v>46074</v>
      </c>
      <c r="D634" s="10">
        <v>17106</v>
      </c>
    </row>
    <row r="635" spans="1:4">
      <c r="A635" t="s">
        <v>32</v>
      </c>
      <c r="B635" t="s">
        <v>80</v>
      </c>
      <c r="C635" s="9">
        <v>46074</v>
      </c>
      <c r="D635" s="10">
        <v>26621</v>
      </c>
    </row>
    <row r="636" spans="1:4">
      <c r="A636" t="s">
        <v>7</v>
      </c>
      <c r="B636" t="s">
        <v>266</v>
      </c>
      <c r="C636" s="9">
        <v>46074</v>
      </c>
      <c r="D636" s="10">
        <v>23215</v>
      </c>
    </row>
    <row r="637" spans="1:4">
      <c r="A637" t="s">
        <v>9</v>
      </c>
      <c r="B637" t="s">
        <v>81</v>
      </c>
      <c r="C637" s="9">
        <v>46074</v>
      </c>
      <c r="D637" s="10">
        <v>28733</v>
      </c>
    </row>
    <row r="638" spans="1:4">
      <c r="A638" t="s">
        <v>9</v>
      </c>
      <c r="B638" t="s">
        <v>167</v>
      </c>
      <c r="C638" s="9">
        <v>46074</v>
      </c>
      <c r="D638" s="10">
        <v>20923</v>
      </c>
    </row>
    <row r="639" spans="1:4">
      <c r="A639" t="s">
        <v>9</v>
      </c>
      <c r="B639" t="s">
        <v>76</v>
      </c>
      <c r="C639" s="9">
        <v>46074</v>
      </c>
      <c r="D639" s="10">
        <v>35706</v>
      </c>
    </row>
    <row r="640" spans="1:4">
      <c r="A640" t="s">
        <v>5</v>
      </c>
      <c r="B640" t="s">
        <v>116</v>
      </c>
      <c r="C640" s="9">
        <v>46074</v>
      </c>
      <c r="D640" s="10">
        <v>40522</v>
      </c>
    </row>
    <row r="641" spans="1:4">
      <c r="A641" t="s">
        <v>5</v>
      </c>
      <c r="B641" t="s">
        <v>284</v>
      </c>
      <c r="C641" s="9">
        <v>46074</v>
      </c>
      <c r="D641" s="10">
        <v>38300</v>
      </c>
    </row>
    <row r="642" spans="1:4">
      <c r="A642" t="s">
        <v>5</v>
      </c>
      <c r="B642" t="s">
        <v>78</v>
      </c>
      <c r="C642" s="9">
        <v>46074</v>
      </c>
      <c r="D642" s="10">
        <v>37239</v>
      </c>
    </row>
    <row r="643" spans="1:4">
      <c r="A643" t="s">
        <v>5</v>
      </c>
      <c r="B643" t="s">
        <v>168</v>
      </c>
      <c r="C643" s="9">
        <v>46074</v>
      </c>
      <c r="D643" s="10">
        <v>37862</v>
      </c>
    </row>
    <row r="644" spans="1:4">
      <c r="A644" t="s">
        <v>5</v>
      </c>
      <c r="B644" t="s">
        <v>210</v>
      </c>
      <c r="C644" s="9">
        <v>46074</v>
      </c>
      <c r="D644" s="10">
        <v>41503</v>
      </c>
    </row>
    <row r="645" spans="1:4">
      <c r="A645" t="s">
        <v>4</v>
      </c>
      <c r="B645" t="s">
        <v>265</v>
      </c>
      <c r="C645" s="9">
        <v>46075</v>
      </c>
      <c r="D645" s="10">
        <v>31139</v>
      </c>
    </row>
    <row r="646" spans="1:4">
      <c r="A646" t="s">
        <v>4</v>
      </c>
      <c r="B646" t="s">
        <v>146</v>
      </c>
      <c r="C646" s="9">
        <v>46075</v>
      </c>
      <c r="D646" s="10">
        <v>21505</v>
      </c>
    </row>
    <row r="647" spans="1:4">
      <c r="A647" t="s">
        <v>36</v>
      </c>
      <c r="B647" t="s">
        <v>287</v>
      </c>
      <c r="C647" s="9">
        <v>46075</v>
      </c>
      <c r="D647" s="10">
        <v>11437</v>
      </c>
    </row>
    <row r="648" spans="1:4">
      <c r="A648" t="s">
        <v>8</v>
      </c>
      <c r="B648" t="s">
        <v>243</v>
      </c>
      <c r="C648" s="9">
        <v>46075</v>
      </c>
      <c r="D648" s="10">
        <v>17090</v>
      </c>
    </row>
    <row r="649" spans="1:4">
      <c r="A649" t="s">
        <v>6</v>
      </c>
      <c r="B649" t="s">
        <v>130</v>
      </c>
      <c r="C649" s="9">
        <v>46075</v>
      </c>
      <c r="D649" s="10">
        <v>8437</v>
      </c>
    </row>
    <row r="650" spans="1:4">
      <c r="A650" t="s">
        <v>9</v>
      </c>
      <c r="B650" t="s">
        <v>115</v>
      </c>
      <c r="C650" s="9">
        <v>46075</v>
      </c>
      <c r="D650" s="10">
        <v>30758</v>
      </c>
    </row>
    <row r="651" spans="1:4">
      <c r="A651" t="s">
        <v>9</v>
      </c>
      <c r="B651" t="s">
        <v>133</v>
      </c>
      <c r="C651" s="9">
        <v>46075</v>
      </c>
      <c r="D651" s="10">
        <v>25436</v>
      </c>
    </row>
    <row r="652" spans="1:4">
      <c r="A652" t="s">
        <v>5</v>
      </c>
      <c r="B652" t="s">
        <v>134</v>
      </c>
      <c r="C652" s="9">
        <v>46075</v>
      </c>
      <c r="D652" s="10">
        <v>25648</v>
      </c>
    </row>
    <row r="653" spans="1:4">
      <c r="A653" t="s">
        <v>5</v>
      </c>
      <c r="B653" t="s">
        <v>152</v>
      </c>
      <c r="C653" s="9">
        <v>46075</v>
      </c>
      <c r="D653" s="10">
        <v>31949</v>
      </c>
    </row>
    <row r="654" spans="1:4">
      <c r="A654" t="s">
        <v>4</v>
      </c>
      <c r="B654" t="s">
        <v>153</v>
      </c>
      <c r="C654" s="9">
        <v>46076</v>
      </c>
      <c r="D654" s="10">
        <v>42179</v>
      </c>
    </row>
    <row r="655" spans="1:4">
      <c r="A655" t="s">
        <v>28</v>
      </c>
      <c r="B655" t="s">
        <v>237</v>
      </c>
      <c r="C655" s="9">
        <v>46076</v>
      </c>
      <c r="D655" s="10">
        <v>8349</v>
      </c>
    </row>
    <row r="656" spans="1:4">
      <c r="A656" t="s">
        <v>6</v>
      </c>
      <c r="B656" t="s">
        <v>270</v>
      </c>
      <c r="C656" s="9">
        <v>46076</v>
      </c>
      <c r="D656" s="10">
        <v>32609</v>
      </c>
    </row>
    <row r="657" spans="1:4">
      <c r="A657" t="s">
        <v>29</v>
      </c>
      <c r="B657" t="s">
        <v>254</v>
      </c>
      <c r="C657" s="9">
        <v>46076</v>
      </c>
      <c r="D657" s="10">
        <v>11583</v>
      </c>
    </row>
    <row r="658" spans="1:4">
      <c r="A658" t="s">
        <v>5</v>
      </c>
      <c r="B658" t="s">
        <v>175</v>
      </c>
      <c r="C658" s="9">
        <v>46076</v>
      </c>
      <c r="D658" s="10">
        <v>40807</v>
      </c>
    </row>
    <row r="659" spans="1:4">
      <c r="A659" t="s">
        <v>5</v>
      </c>
      <c r="B659" t="s">
        <v>176</v>
      </c>
      <c r="C659" s="9">
        <v>46076</v>
      </c>
      <c r="D659" s="10">
        <v>41976</v>
      </c>
    </row>
    <row r="660" spans="1:4">
      <c r="A660" t="s">
        <v>5</v>
      </c>
      <c r="B660" t="s">
        <v>108</v>
      </c>
      <c r="C660" s="9">
        <v>46076</v>
      </c>
      <c r="D660" s="10">
        <v>44221</v>
      </c>
    </row>
    <row r="661" spans="1:4">
      <c r="A661" t="s">
        <v>5</v>
      </c>
      <c r="B661" t="s">
        <v>118</v>
      </c>
      <c r="C661" s="9">
        <v>46076</v>
      </c>
      <c r="D661" s="10">
        <v>47692</v>
      </c>
    </row>
    <row r="662" spans="1:4">
      <c r="A662" t="s">
        <v>4</v>
      </c>
      <c r="B662" t="s">
        <v>225</v>
      </c>
      <c r="C662" s="9">
        <v>46077</v>
      </c>
      <c r="D662" s="10">
        <v>21542</v>
      </c>
    </row>
    <row r="663" spans="1:4">
      <c r="A663" t="s">
        <v>28</v>
      </c>
      <c r="B663" t="s">
        <v>127</v>
      </c>
      <c r="C663" s="9">
        <v>46077</v>
      </c>
      <c r="D663" s="10">
        <v>15945</v>
      </c>
    </row>
    <row r="664" spans="1:4">
      <c r="A664" t="s">
        <v>28</v>
      </c>
      <c r="B664" t="s">
        <v>215</v>
      </c>
      <c r="C664" s="9">
        <v>46077</v>
      </c>
      <c r="D664" s="10">
        <v>17681</v>
      </c>
    </row>
    <row r="665" spans="1:4">
      <c r="A665" t="s">
        <v>26</v>
      </c>
      <c r="B665" t="s">
        <v>217</v>
      </c>
      <c r="C665" s="9">
        <v>46077</v>
      </c>
      <c r="D665" s="10">
        <v>16128</v>
      </c>
    </row>
    <row r="666" spans="1:4">
      <c r="A666" t="s">
        <v>34</v>
      </c>
      <c r="B666" t="s">
        <v>161</v>
      </c>
      <c r="C666" s="9">
        <v>46077</v>
      </c>
      <c r="D666" s="10">
        <v>11500</v>
      </c>
    </row>
    <row r="667" spans="1:4">
      <c r="A667" t="s">
        <v>7</v>
      </c>
      <c r="B667" t="s">
        <v>271</v>
      </c>
      <c r="C667" s="9">
        <v>46077</v>
      </c>
      <c r="D667" s="10">
        <v>26845</v>
      </c>
    </row>
    <row r="668" spans="1:4">
      <c r="A668" t="s">
        <v>9</v>
      </c>
      <c r="B668" t="s">
        <v>90</v>
      </c>
      <c r="C668" s="9">
        <v>46077</v>
      </c>
      <c r="D668" s="10">
        <v>33110</v>
      </c>
    </row>
    <row r="669" spans="1:4">
      <c r="A669" t="s">
        <v>9</v>
      </c>
      <c r="B669" t="s">
        <v>272</v>
      </c>
      <c r="C669" s="9">
        <v>46077</v>
      </c>
      <c r="D669" s="10">
        <v>39370</v>
      </c>
    </row>
    <row r="670" spans="1:4">
      <c r="A670" t="s">
        <v>5</v>
      </c>
      <c r="B670" t="s">
        <v>176</v>
      </c>
      <c r="C670" s="9">
        <v>46077</v>
      </c>
      <c r="D670" s="10">
        <v>36000</v>
      </c>
    </row>
    <row r="671" spans="1:4">
      <c r="A671" t="s">
        <v>5</v>
      </c>
      <c r="B671" t="s">
        <v>136</v>
      </c>
      <c r="C671" s="9">
        <v>46077</v>
      </c>
      <c r="D671" s="10">
        <v>35480</v>
      </c>
    </row>
    <row r="672" spans="1:4">
      <c r="A672" t="s">
        <v>5</v>
      </c>
      <c r="B672" t="s">
        <v>110</v>
      </c>
      <c r="C672" s="9">
        <v>46077</v>
      </c>
      <c r="D672" s="10">
        <v>29635</v>
      </c>
    </row>
    <row r="673" spans="1:4">
      <c r="A673" t="s">
        <v>5</v>
      </c>
      <c r="B673" t="s">
        <v>79</v>
      </c>
      <c r="C673" s="9">
        <v>46077</v>
      </c>
      <c r="D673" s="10">
        <v>42324</v>
      </c>
    </row>
    <row r="674" spans="1:4">
      <c r="A674" t="s">
        <v>8</v>
      </c>
      <c r="B674" t="s">
        <v>160</v>
      </c>
      <c r="C674" s="9">
        <v>46078</v>
      </c>
      <c r="D674" s="10">
        <v>18706</v>
      </c>
    </row>
    <row r="675" spans="1:4">
      <c r="A675" t="s">
        <v>6</v>
      </c>
      <c r="B675" t="s">
        <v>170</v>
      </c>
      <c r="C675" s="9">
        <v>46078</v>
      </c>
      <c r="D675" s="10">
        <v>19268</v>
      </c>
    </row>
    <row r="676" spans="1:4">
      <c r="A676" t="s">
        <v>7</v>
      </c>
      <c r="B676" t="s">
        <v>173</v>
      </c>
      <c r="C676" s="9">
        <v>46078</v>
      </c>
      <c r="D676" s="10">
        <v>25390</v>
      </c>
    </row>
    <row r="677" spans="1:4">
      <c r="A677" t="s">
        <v>7</v>
      </c>
      <c r="B677" t="s">
        <v>220</v>
      </c>
      <c r="C677" s="9">
        <v>46078</v>
      </c>
      <c r="D677" s="10">
        <v>27205</v>
      </c>
    </row>
    <row r="678" spans="1:4">
      <c r="A678" t="s">
        <v>7</v>
      </c>
      <c r="B678" t="s">
        <v>129</v>
      </c>
      <c r="C678" s="9">
        <v>46078</v>
      </c>
      <c r="D678" s="10">
        <v>19280</v>
      </c>
    </row>
    <row r="679" spans="1:4">
      <c r="A679" t="s">
        <v>9</v>
      </c>
      <c r="B679" t="s">
        <v>276</v>
      </c>
      <c r="C679" s="9">
        <v>46078</v>
      </c>
      <c r="D679" s="10">
        <v>36384</v>
      </c>
    </row>
    <row r="680" spans="1:4">
      <c r="A680" t="s">
        <v>9</v>
      </c>
      <c r="B680" t="s">
        <v>276</v>
      </c>
      <c r="C680" s="9">
        <v>46078</v>
      </c>
      <c r="D680" s="10">
        <v>23723</v>
      </c>
    </row>
    <row r="681" spans="1:4">
      <c r="A681" t="s">
        <v>5</v>
      </c>
      <c r="B681" t="s">
        <v>94</v>
      </c>
      <c r="C681" s="9">
        <v>46078</v>
      </c>
      <c r="D681" s="10">
        <v>51998</v>
      </c>
    </row>
    <row r="682" spans="1:4">
      <c r="A682" t="s">
        <v>5</v>
      </c>
      <c r="B682" t="s">
        <v>187</v>
      </c>
      <c r="C682" s="9">
        <v>46078</v>
      </c>
      <c r="D682" s="10">
        <v>60045</v>
      </c>
    </row>
    <row r="683" spans="1:4">
      <c r="A683" t="s">
        <v>5</v>
      </c>
      <c r="B683" t="s">
        <v>68</v>
      </c>
      <c r="C683" s="9">
        <v>46078</v>
      </c>
      <c r="D683" s="10">
        <v>47755</v>
      </c>
    </row>
    <row r="684" spans="1:4">
      <c r="A684" t="s">
        <v>27</v>
      </c>
      <c r="B684" t="s">
        <v>238</v>
      </c>
      <c r="C684" s="9">
        <v>46079</v>
      </c>
      <c r="D684" s="10">
        <v>12504</v>
      </c>
    </row>
    <row r="685" spans="1:4">
      <c r="A685" t="s">
        <v>4</v>
      </c>
      <c r="B685" t="s">
        <v>177</v>
      </c>
      <c r="C685" s="9">
        <v>46079</v>
      </c>
      <c r="D685" s="10">
        <v>40277</v>
      </c>
    </row>
    <row r="686" spans="1:4">
      <c r="A686" t="s">
        <v>8</v>
      </c>
      <c r="B686" t="s">
        <v>182</v>
      </c>
      <c r="C686" s="9">
        <v>46079</v>
      </c>
      <c r="D686" s="10">
        <v>24733</v>
      </c>
    </row>
    <row r="687" spans="1:4">
      <c r="A687" t="s">
        <v>8</v>
      </c>
      <c r="B687" t="s">
        <v>203</v>
      </c>
      <c r="C687" s="9">
        <v>46079</v>
      </c>
      <c r="D687" s="10">
        <v>16344</v>
      </c>
    </row>
    <row r="688" spans="1:4">
      <c r="A688" t="s">
        <v>9</v>
      </c>
      <c r="B688" t="s">
        <v>259</v>
      </c>
      <c r="C688" s="9">
        <v>46079</v>
      </c>
      <c r="D688" s="10">
        <v>15854</v>
      </c>
    </row>
    <row r="689" spans="1:4">
      <c r="A689" t="s">
        <v>9</v>
      </c>
      <c r="B689" t="s">
        <v>291</v>
      </c>
      <c r="C689" s="9">
        <v>46079</v>
      </c>
      <c r="D689" s="10">
        <v>33085</v>
      </c>
    </row>
    <row r="690" spans="1:4">
      <c r="A690" t="s">
        <v>9</v>
      </c>
      <c r="B690" t="s">
        <v>132</v>
      </c>
      <c r="C690" s="9">
        <v>46079</v>
      </c>
      <c r="D690" s="10">
        <v>27786</v>
      </c>
    </row>
    <row r="691" spans="1:4">
      <c r="A691" t="s">
        <v>9</v>
      </c>
      <c r="B691" t="s">
        <v>133</v>
      </c>
      <c r="C691" s="9">
        <v>46079</v>
      </c>
      <c r="D691" s="10">
        <v>24578</v>
      </c>
    </row>
    <row r="692" spans="1:4">
      <c r="A692" t="s">
        <v>5</v>
      </c>
      <c r="B692" t="s">
        <v>117</v>
      </c>
      <c r="C692" s="9">
        <v>46079</v>
      </c>
      <c r="D692" s="10">
        <v>26178</v>
      </c>
    </row>
    <row r="693" spans="1:4">
      <c r="A693" t="s">
        <v>5</v>
      </c>
      <c r="B693" t="s">
        <v>168</v>
      </c>
      <c r="C693" s="9">
        <v>46079</v>
      </c>
      <c r="D693" s="10">
        <v>47287</v>
      </c>
    </row>
    <row r="694" spans="1:4">
      <c r="A694" t="s">
        <v>5</v>
      </c>
      <c r="B694" t="s">
        <v>118</v>
      </c>
      <c r="C694" s="9">
        <v>46079</v>
      </c>
      <c r="D694" s="10">
        <v>39267</v>
      </c>
    </row>
    <row r="695" spans="1:4">
      <c r="A695" t="s">
        <v>5</v>
      </c>
      <c r="B695" t="s">
        <v>69</v>
      </c>
      <c r="C695" s="9">
        <v>46079</v>
      </c>
      <c r="D695" s="10">
        <v>45659</v>
      </c>
    </row>
    <row r="696" spans="1:4">
      <c r="A696" t="s">
        <v>27</v>
      </c>
      <c r="B696" t="s">
        <v>103</v>
      </c>
      <c r="C696" s="9">
        <v>46080</v>
      </c>
      <c r="D696" s="10">
        <v>12591</v>
      </c>
    </row>
    <row r="697" spans="1:4">
      <c r="A697" t="s">
        <v>4</v>
      </c>
      <c r="B697" t="s">
        <v>104</v>
      </c>
      <c r="C697" s="9">
        <v>46080</v>
      </c>
      <c r="D697" s="10">
        <v>31933</v>
      </c>
    </row>
    <row r="698" spans="1:4">
      <c r="A698" t="s">
        <v>4</v>
      </c>
      <c r="B698" t="s">
        <v>250</v>
      </c>
      <c r="C698" s="9">
        <v>46080</v>
      </c>
      <c r="D698" s="10">
        <v>40248</v>
      </c>
    </row>
    <row r="699" spans="1:4">
      <c r="A699" t="s">
        <v>31</v>
      </c>
      <c r="B699" t="s">
        <v>83</v>
      </c>
      <c r="C699" s="9">
        <v>46080</v>
      </c>
      <c r="D699" s="10">
        <v>5200</v>
      </c>
    </row>
    <row r="700" spans="1:4">
      <c r="A700" t="s">
        <v>30</v>
      </c>
      <c r="B700" t="s">
        <v>279</v>
      </c>
      <c r="C700" s="9">
        <v>46080</v>
      </c>
      <c r="D700" s="10">
        <v>13530</v>
      </c>
    </row>
    <row r="701" spans="1:4">
      <c r="A701" t="s">
        <v>6</v>
      </c>
      <c r="B701" t="s">
        <v>172</v>
      </c>
      <c r="C701" s="9">
        <v>46080</v>
      </c>
      <c r="D701" s="10">
        <v>18818</v>
      </c>
    </row>
    <row r="702" spans="1:4">
      <c r="A702" t="s">
        <v>7</v>
      </c>
      <c r="B702" t="s">
        <v>221</v>
      </c>
      <c r="C702" s="9">
        <v>46080</v>
      </c>
      <c r="D702" s="10">
        <v>15779</v>
      </c>
    </row>
    <row r="703" spans="1:4">
      <c r="A703" t="s">
        <v>9</v>
      </c>
      <c r="B703" t="s">
        <v>81</v>
      </c>
      <c r="C703" s="9">
        <v>46080</v>
      </c>
      <c r="D703" s="10">
        <v>30872</v>
      </c>
    </row>
    <row r="704" spans="1:4">
      <c r="A704" t="s">
        <v>9</v>
      </c>
      <c r="B704" t="s">
        <v>57</v>
      </c>
      <c r="C704" s="9">
        <v>46080</v>
      </c>
      <c r="D704" s="10">
        <v>31963</v>
      </c>
    </row>
    <row r="705" spans="1:4">
      <c r="A705" t="s">
        <v>9</v>
      </c>
      <c r="B705" t="s">
        <v>283</v>
      </c>
      <c r="C705" s="9">
        <v>46080</v>
      </c>
      <c r="D705" s="10">
        <v>50192</v>
      </c>
    </row>
    <row r="706" spans="1:4">
      <c r="A706" t="s">
        <v>9</v>
      </c>
      <c r="B706" t="s">
        <v>76</v>
      </c>
      <c r="C706" s="9">
        <v>46080</v>
      </c>
      <c r="D706" s="10">
        <v>30450</v>
      </c>
    </row>
    <row r="707" spans="1:4">
      <c r="A707" t="s">
        <v>27</v>
      </c>
      <c r="B707" t="s">
        <v>144</v>
      </c>
      <c r="C707" s="9">
        <v>46081</v>
      </c>
      <c r="D707" s="10">
        <v>16108</v>
      </c>
    </row>
    <row r="708" spans="1:4">
      <c r="A708" t="s">
        <v>4</v>
      </c>
      <c r="B708" t="s">
        <v>123</v>
      </c>
      <c r="C708" s="9">
        <v>46081</v>
      </c>
      <c r="D708" s="10">
        <v>30415</v>
      </c>
    </row>
    <row r="709" spans="1:4">
      <c r="A709" t="s">
        <v>26</v>
      </c>
      <c r="B709" t="s">
        <v>226</v>
      </c>
      <c r="C709" s="9">
        <v>46081</v>
      </c>
      <c r="D709" s="10">
        <v>15812</v>
      </c>
    </row>
    <row r="710" spans="1:4">
      <c r="A710" t="s">
        <v>29</v>
      </c>
      <c r="B710" t="s">
        <v>281</v>
      </c>
      <c r="C710" s="9">
        <v>46081</v>
      </c>
      <c r="D710" s="10">
        <v>23463</v>
      </c>
    </row>
    <row r="711" spans="1:4">
      <c r="A711" t="s">
        <v>29</v>
      </c>
      <c r="B711" t="s">
        <v>229</v>
      </c>
      <c r="C711" s="9">
        <v>46081</v>
      </c>
      <c r="D711" s="10">
        <v>8808</v>
      </c>
    </row>
    <row r="712" spans="1:4">
      <c r="A712" t="s">
        <v>9</v>
      </c>
      <c r="B712" t="s">
        <v>151</v>
      </c>
      <c r="C712" s="9">
        <v>46081</v>
      </c>
      <c r="D712" s="10">
        <v>40015</v>
      </c>
    </row>
    <row r="713" spans="1:4">
      <c r="A713" t="s">
        <v>9</v>
      </c>
      <c r="B713" t="s">
        <v>131</v>
      </c>
      <c r="C713" s="9">
        <v>46081</v>
      </c>
      <c r="D713" s="10">
        <v>38288</v>
      </c>
    </row>
    <row r="714" spans="1:4">
      <c r="A714" t="s">
        <v>9</v>
      </c>
      <c r="B714" t="s">
        <v>186</v>
      </c>
      <c r="C714" s="9">
        <v>46081</v>
      </c>
      <c r="D714" s="10">
        <v>29299</v>
      </c>
    </row>
    <row r="715" spans="1:4">
      <c r="A715" t="s">
        <v>5</v>
      </c>
      <c r="B715" t="s">
        <v>135</v>
      </c>
      <c r="C715" s="9">
        <v>46081</v>
      </c>
      <c r="D715" s="10">
        <v>43044</v>
      </c>
    </row>
    <row r="716" spans="1:4">
      <c r="A716" t="s">
        <v>5</v>
      </c>
      <c r="B716" t="s">
        <v>107</v>
      </c>
      <c r="C716" s="9">
        <v>46081</v>
      </c>
      <c r="D716" s="10">
        <v>27088</v>
      </c>
    </row>
    <row r="717" spans="1:4">
      <c r="A717" t="s">
        <v>5</v>
      </c>
      <c r="B717" t="s">
        <v>95</v>
      </c>
      <c r="C717" s="9">
        <v>46081</v>
      </c>
      <c r="D717" s="10">
        <v>36629</v>
      </c>
    </row>
    <row r="718" spans="1:4">
      <c r="A718" t="s">
        <v>5</v>
      </c>
      <c r="B718" t="s">
        <v>143</v>
      </c>
      <c r="C718" s="9">
        <v>46081</v>
      </c>
      <c r="D718" s="10">
        <v>25856</v>
      </c>
    </row>
    <row r="719" spans="1:4">
      <c r="A719" t="s">
        <v>27</v>
      </c>
      <c r="B719" t="s">
        <v>200</v>
      </c>
      <c r="C719" s="9">
        <v>46082</v>
      </c>
      <c r="D719" s="10">
        <v>5200</v>
      </c>
    </row>
    <row r="720" spans="1:4">
      <c r="A720" t="s">
        <v>31</v>
      </c>
      <c r="B720" t="s">
        <v>82</v>
      </c>
      <c r="C720" s="9">
        <v>46082</v>
      </c>
      <c r="D720" s="10">
        <v>5200</v>
      </c>
    </row>
    <row r="721" spans="1:4">
      <c r="A721" t="s">
        <v>26</v>
      </c>
      <c r="B721" t="s">
        <v>217</v>
      </c>
      <c r="C721" s="9">
        <v>46082</v>
      </c>
      <c r="D721" s="10">
        <v>13616</v>
      </c>
    </row>
    <row r="722" spans="1:4">
      <c r="A722" t="s">
        <v>34</v>
      </c>
      <c r="B722" t="s">
        <v>140</v>
      </c>
      <c r="C722" s="9">
        <v>46082</v>
      </c>
      <c r="D722" s="10">
        <v>12822</v>
      </c>
    </row>
    <row r="723" spans="1:4">
      <c r="A723" t="s">
        <v>7</v>
      </c>
      <c r="B723" t="s">
        <v>162</v>
      </c>
      <c r="C723" s="9">
        <v>46082</v>
      </c>
      <c r="D723" s="10">
        <v>23559</v>
      </c>
    </row>
    <row r="724" spans="1:4">
      <c r="A724" t="s">
        <v>9</v>
      </c>
      <c r="B724" t="s">
        <v>231</v>
      </c>
      <c r="C724" s="9">
        <v>46082</v>
      </c>
      <c r="D724" s="10">
        <v>31125</v>
      </c>
    </row>
    <row r="725" spans="1:4">
      <c r="A725" t="s">
        <v>5</v>
      </c>
      <c r="B725" t="s">
        <v>108</v>
      </c>
      <c r="C725" s="9">
        <v>46082</v>
      </c>
      <c r="D725" s="10">
        <v>42565</v>
      </c>
    </row>
    <row r="726" spans="1:4">
      <c r="A726" t="s">
        <v>5</v>
      </c>
      <c r="B726" t="s">
        <v>178</v>
      </c>
      <c r="C726" s="9">
        <v>46082</v>
      </c>
      <c r="D726" s="10">
        <v>58367</v>
      </c>
    </row>
    <row r="727" spans="1:4">
      <c r="A727" t="s">
        <v>4</v>
      </c>
      <c r="B727" t="s">
        <v>165</v>
      </c>
      <c r="C727" s="9">
        <v>46083</v>
      </c>
      <c r="D727" s="10">
        <v>37067</v>
      </c>
    </row>
    <row r="728" spans="1:4">
      <c r="A728" t="s">
        <v>4</v>
      </c>
      <c r="B728" t="s">
        <v>110</v>
      </c>
      <c r="C728" s="9">
        <v>46083</v>
      </c>
      <c r="D728" s="10">
        <v>46971</v>
      </c>
    </row>
    <row r="729" spans="1:4">
      <c r="A729" t="s">
        <v>25</v>
      </c>
      <c r="B729" t="s">
        <v>251</v>
      </c>
      <c r="C729" s="9">
        <v>46083</v>
      </c>
      <c r="D729" s="10">
        <v>5200</v>
      </c>
    </row>
    <row r="730" spans="1:4">
      <c r="A730" t="s">
        <v>6</v>
      </c>
      <c r="B730" t="s">
        <v>270</v>
      </c>
      <c r="C730" s="9">
        <v>46083</v>
      </c>
      <c r="D730" s="10">
        <v>11739</v>
      </c>
    </row>
    <row r="731" spans="1:4">
      <c r="A731" t="s">
        <v>7</v>
      </c>
      <c r="B731" t="s">
        <v>61</v>
      </c>
      <c r="C731" s="9">
        <v>46083</v>
      </c>
      <c r="D731" s="10">
        <v>23939</v>
      </c>
    </row>
    <row r="732" spans="1:4">
      <c r="A732" t="s">
        <v>7</v>
      </c>
      <c r="B732" t="s">
        <v>241</v>
      </c>
      <c r="C732" s="9">
        <v>46083</v>
      </c>
      <c r="D732" s="10">
        <v>21297</v>
      </c>
    </row>
    <row r="733" spans="1:4">
      <c r="A733" t="s">
        <v>9</v>
      </c>
      <c r="B733" t="s">
        <v>131</v>
      </c>
      <c r="C733" s="9">
        <v>46083</v>
      </c>
      <c r="D733" s="10">
        <v>32211</v>
      </c>
    </row>
    <row r="734" spans="1:4">
      <c r="A734" t="s">
        <v>5</v>
      </c>
      <c r="B734" t="s">
        <v>116</v>
      </c>
      <c r="C734" s="9">
        <v>46083</v>
      </c>
      <c r="D734" s="10">
        <v>39708</v>
      </c>
    </row>
    <row r="735" spans="1:4">
      <c r="A735" t="s">
        <v>5</v>
      </c>
      <c r="B735" t="s">
        <v>94</v>
      </c>
      <c r="C735" s="9">
        <v>46083</v>
      </c>
      <c r="D735" s="10">
        <v>39254</v>
      </c>
    </row>
    <row r="736" spans="1:4">
      <c r="A736" t="s">
        <v>5</v>
      </c>
      <c r="B736" t="s">
        <v>118</v>
      </c>
      <c r="C736" s="9">
        <v>46083</v>
      </c>
      <c r="D736" s="10">
        <v>35716</v>
      </c>
    </row>
    <row r="737" spans="1:4">
      <c r="A737" t="s">
        <v>5</v>
      </c>
      <c r="B737" t="s">
        <v>122</v>
      </c>
      <c r="C737" s="9">
        <v>46083</v>
      </c>
      <c r="D737" s="10">
        <v>39546</v>
      </c>
    </row>
    <row r="738" spans="1:4">
      <c r="A738" t="s">
        <v>5</v>
      </c>
      <c r="B738" t="s">
        <v>258</v>
      </c>
      <c r="C738" s="9">
        <v>46083</v>
      </c>
      <c r="D738" s="10">
        <v>44499</v>
      </c>
    </row>
    <row r="739" spans="1:4">
      <c r="A739" t="s">
        <v>27</v>
      </c>
      <c r="B739" t="s">
        <v>212</v>
      </c>
      <c r="C739" s="9">
        <v>46084</v>
      </c>
      <c r="D739" s="10">
        <v>10278</v>
      </c>
    </row>
    <row r="740" spans="1:4">
      <c r="A740" t="s">
        <v>27</v>
      </c>
      <c r="B740" t="s">
        <v>238</v>
      </c>
      <c r="C740" s="9">
        <v>46084</v>
      </c>
      <c r="D740" s="10">
        <v>12546</v>
      </c>
    </row>
    <row r="741" spans="1:4">
      <c r="A741" t="s">
        <v>8</v>
      </c>
      <c r="B741" t="s">
        <v>253</v>
      </c>
      <c r="C741" s="9">
        <v>46084</v>
      </c>
      <c r="D741" s="10">
        <v>18198</v>
      </c>
    </row>
    <row r="742" spans="1:4">
      <c r="A742" t="s">
        <v>6</v>
      </c>
      <c r="B742" t="s">
        <v>233</v>
      </c>
      <c r="C742" s="9">
        <v>46084</v>
      </c>
      <c r="D742" s="10">
        <v>20097</v>
      </c>
    </row>
    <row r="743" spans="1:4">
      <c r="A743" t="s">
        <v>6</v>
      </c>
      <c r="B743" t="s">
        <v>170</v>
      </c>
      <c r="C743" s="9">
        <v>46084</v>
      </c>
      <c r="D743" s="10">
        <v>18998</v>
      </c>
    </row>
    <row r="744" spans="1:4">
      <c r="A744" t="s">
        <v>29</v>
      </c>
      <c r="B744" t="s">
        <v>289</v>
      </c>
      <c r="C744" s="9">
        <v>46084</v>
      </c>
      <c r="D744" s="10">
        <v>11572</v>
      </c>
    </row>
    <row r="745" spans="1:4">
      <c r="A745" t="s">
        <v>5</v>
      </c>
      <c r="B745" t="s">
        <v>67</v>
      </c>
      <c r="C745" s="9">
        <v>46084</v>
      </c>
      <c r="D745" s="10">
        <v>53913</v>
      </c>
    </row>
    <row r="746" spans="1:4">
      <c r="A746" t="s">
        <v>5</v>
      </c>
      <c r="B746" t="s">
        <v>67</v>
      </c>
      <c r="C746" s="9">
        <v>46084</v>
      </c>
      <c r="D746" s="10">
        <v>57504</v>
      </c>
    </row>
    <row r="747" spans="1:4">
      <c r="A747" t="s">
        <v>5</v>
      </c>
      <c r="B747" t="s">
        <v>117</v>
      </c>
      <c r="C747" s="9">
        <v>46084</v>
      </c>
      <c r="D747" s="10">
        <v>36658</v>
      </c>
    </row>
    <row r="748" spans="1:4">
      <c r="A748" t="s">
        <v>5</v>
      </c>
      <c r="B748" t="s">
        <v>95</v>
      </c>
      <c r="C748" s="9">
        <v>46084</v>
      </c>
      <c r="D748" s="10">
        <v>45340</v>
      </c>
    </row>
    <row r="749" spans="1:4">
      <c r="A749" t="s">
        <v>5</v>
      </c>
      <c r="B749" t="s">
        <v>95</v>
      </c>
      <c r="C749" s="9">
        <v>46084</v>
      </c>
      <c r="D749" s="10">
        <v>47432</v>
      </c>
    </row>
    <row r="750" spans="1:4">
      <c r="A750" t="s">
        <v>5</v>
      </c>
      <c r="B750" t="s">
        <v>69</v>
      </c>
      <c r="C750" s="9">
        <v>46084</v>
      </c>
      <c r="D750" s="10">
        <v>37194</v>
      </c>
    </row>
    <row r="751" spans="1:4">
      <c r="A751" t="s">
        <v>5</v>
      </c>
      <c r="B751" t="s">
        <v>79</v>
      </c>
      <c r="C751" s="9">
        <v>46084</v>
      </c>
      <c r="D751" s="10">
        <v>50081</v>
      </c>
    </row>
    <row r="752" spans="1:4">
      <c r="A752" t="s">
        <v>4</v>
      </c>
      <c r="B752" t="s">
        <v>154</v>
      </c>
      <c r="C752" s="9">
        <v>46085</v>
      </c>
      <c r="D752" s="10">
        <v>43001</v>
      </c>
    </row>
    <row r="753" spans="1:4">
      <c r="A753" t="s">
        <v>4</v>
      </c>
      <c r="B753" t="s">
        <v>213</v>
      </c>
      <c r="C753" s="9">
        <v>46085</v>
      </c>
      <c r="D753" s="10">
        <v>27363</v>
      </c>
    </row>
    <row r="754" spans="1:4">
      <c r="A754" t="s">
        <v>4</v>
      </c>
      <c r="B754" t="s">
        <v>146</v>
      </c>
      <c r="C754" s="9">
        <v>46085</v>
      </c>
      <c r="D754" s="10">
        <v>33470</v>
      </c>
    </row>
    <row r="755" spans="1:4">
      <c r="A755" t="s">
        <v>31</v>
      </c>
      <c r="B755" t="s">
        <v>83</v>
      </c>
      <c r="C755" s="9">
        <v>46085</v>
      </c>
      <c r="D755" s="10">
        <v>19447</v>
      </c>
    </row>
    <row r="756" spans="1:4">
      <c r="A756" t="s">
        <v>28</v>
      </c>
      <c r="B756" t="s">
        <v>255</v>
      </c>
      <c r="C756" s="9">
        <v>46085</v>
      </c>
      <c r="D756" s="10">
        <v>13795</v>
      </c>
    </row>
    <row r="757" spans="1:4">
      <c r="A757" t="s">
        <v>6</v>
      </c>
      <c r="B757" t="s">
        <v>218</v>
      </c>
      <c r="C757" s="9">
        <v>46085</v>
      </c>
      <c r="D757" s="10">
        <v>24606</v>
      </c>
    </row>
    <row r="758" spans="1:4">
      <c r="A758" t="s">
        <v>9</v>
      </c>
      <c r="B758" t="s">
        <v>57</v>
      </c>
      <c r="C758" s="9">
        <v>46085</v>
      </c>
      <c r="D758" s="10">
        <v>30350</v>
      </c>
    </row>
    <row r="759" spans="1:4">
      <c r="A759" t="s">
        <v>9</v>
      </c>
      <c r="B759" t="s">
        <v>57</v>
      </c>
      <c r="C759" s="9">
        <v>46085</v>
      </c>
      <c r="D759" s="10">
        <v>34708</v>
      </c>
    </row>
    <row r="760" spans="1:4">
      <c r="A760" t="s">
        <v>9</v>
      </c>
      <c r="B760" t="s">
        <v>75</v>
      </c>
      <c r="C760" s="9">
        <v>46085</v>
      </c>
      <c r="D760" s="10">
        <v>25161</v>
      </c>
    </row>
    <row r="761" spans="1:4">
      <c r="A761" t="s">
        <v>4</v>
      </c>
      <c r="B761" t="s">
        <v>225</v>
      </c>
      <c r="C761" s="9">
        <v>46086</v>
      </c>
      <c r="D761" s="10">
        <v>19527</v>
      </c>
    </row>
    <row r="762" spans="1:4">
      <c r="A762" t="s">
        <v>25</v>
      </c>
      <c r="B762" t="s">
        <v>103</v>
      </c>
      <c r="C762" s="9">
        <v>46086</v>
      </c>
      <c r="D762" s="10">
        <v>15521</v>
      </c>
    </row>
    <row r="763" spans="1:4">
      <c r="A763" t="s">
        <v>8</v>
      </c>
      <c r="B763" t="s">
        <v>183</v>
      </c>
      <c r="C763" s="9">
        <v>46086</v>
      </c>
      <c r="D763" s="10">
        <v>17405</v>
      </c>
    </row>
    <row r="764" spans="1:4">
      <c r="A764" t="s">
        <v>8</v>
      </c>
      <c r="B764" t="s">
        <v>101</v>
      </c>
      <c r="C764" s="9">
        <v>46086</v>
      </c>
      <c r="D764" s="10">
        <v>23438</v>
      </c>
    </row>
    <row r="765" spans="1:4">
      <c r="A765" t="s">
        <v>34</v>
      </c>
      <c r="B765" t="s">
        <v>161</v>
      </c>
      <c r="C765" s="9">
        <v>46086</v>
      </c>
      <c r="D765" s="10">
        <v>11432</v>
      </c>
    </row>
    <row r="766" spans="1:4">
      <c r="A766" t="s">
        <v>29</v>
      </c>
      <c r="B766" t="s">
        <v>281</v>
      </c>
      <c r="C766" s="9">
        <v>46086</v>
      </c>
      <c r="D766" s="10">
        <v>5200</v>
      </c>
    </row>
    <row r="767" spans="1:4">
      <c r="A767" t="s">
        <v>9</v>
      </c>
      <c r="B767" t="s">
        <v>75</v>
      </c>
      <c r="C767" s="9">
        <v>46086</v>
      </c>
      <c r="D767" s="10">
        <v>20689</v>
      </c>
    </row>
    <row r="768" spans="1:4">
      <c r="A768" t="s">
        <v>9</v>
      </c>
      <c r="B768" t="s">
        <v>143</v>
      </c>
      <c r="C768" s="9">
        <v>46086</v>
      </c>
      <c r="D768" s="10">
        <v>42012</v>
      </c>
    </row>
    <row r="769" spans="1:4">
      <c r="A769" t="s">
        <v>5</v>
      </c>
      <c r="B769" t="s">
        <v>66</v>
      </c>
      <c r="C769" s="9">
        <v>46086</v>
      </c>
      <c r="D769" s="10">
        <v>32344</v>
      </c>
    </row>
    <row r="770" spans="1:4">
      <c r="A770" t="s">
        <v>5</v>
      </c>
      <c r="B770" t="s">
        <v>211</v>
      </c>
      <c r="C770" s="9">
        <v>46086</v>
      </c>
      <c r="D770" s="10">
        <v>33820</v>
      </c>
    </row>
    <row r="771" spans="1:4">
      <c r="A771" t="s">
        <v>5</v>
      </c>
      <c r="B771" t="s">
        <v>94</v>
      </c>
      <c r="C771" s="9">
        <v>46086</v>
      </c>
      <c r="D771" s="10">
        <v>37794</v>
      </c>
    </row>
    <row r="772" spans="1:4">
      <c r="A772" t="s">
        <v>5</v>
      </c>
      <c r="B772" t="s">
        <v>121</v>
      </c>
      <c r="C772" s="9">
        <v>46086</v>
      </c>
      <c r="D772" s="10">
        <v>43320</v>
      </c>
    </row>
    <row r="773" spans="1:4">
      <c r="A773" t="s">
        <v>5</v>
      </c>
      <c r="B773" t="s">
        <v>176</v>
      </c>
      <c r="C773" s="9">
        <v>46086</v>
      </c>
      <c r="D773" s="10">
        <v>46441</v>
      </c>
    </row>
    <row r="774" spans="1:4">
      <c r="A774" t="s">
        <v>4</v>
      </c>
      <c r="B774" t="s">
        <v>207</v>
      </c>
      <c r="C774" s="9">
        <v>46087</v>
      </c>
      <c r="D774" s="10">
        <v>32154</v>
      </c>
    </row>
    <row r="775" spans="1:4">
      <c r="A775" t="s">
        <v>8</v>
      </c>
      <c r="B775" t="s">
        <v>227</v>
      </c>
      <c r="C775" s="9">
        <v>46087</v>
      </c>
      <c r="D775" s="10">
        <v>5200</v>
      </c>
    </row>
    <row r="776" spans="1:4">
      <c r="A776" t="s">
        <v>9</v>
      </c>
      <c r="B776" t="s">
        <v>276</v>
      </c>
      <c r="C776" s="9">
        <v>46087</v>
      </c>
      <c r="D776" s="10">
        <v>14315</v>
      </c>
    </row>
    <row r="777" spans="1:4">
      <c r="A777" t="s">
        <v>5</v>
      </c>
      <c r="B777" t="s">
        <v>117</v>
      </c>
      <c r="C777" s="9">
        <v>46087</v>
      </c>
      <c r="D777" s="10">
        <v>33226</v>
      </c>
    </row>
    <row r="778" spans="1:4">
      <c r="A778" t="s">
        <v>5</v>
      </c>
      <c r="B778" t="s">
        <v>168</v>
      </c>
      <c r="C778" s="9">
        <v>46087</v>
      </c>
      <c r="D778" s="10">
        <v>33784</v>
      </c>
    </row>
    <row r="779" spans="1:4">
      <c r="A779" t="s">
        <v>27</v>
      </c>
      <c r="B779" t="s">
        <v>247</v>
      </c>
      <c r="C779" s="9">
        <v>46088</v>
      </c>
      <c r="D779" s="10">
        <v>12207</v>
      </c>
    </row>
    <row r="780" spans="1:4">
      <c r="A780" t="s">
        <v>25</v>
      </c>
      <c r="B780" t="s">
        <v>180</v>
      </c>
      <c r="C780" s="9">
        <v>46088</v>
      </c>
      <c r="D780" s="10">
        <v>15105</v>
      </c>
    </row>
    <row r="781" spans="1:4">
      <c r="A781" t="s">
        <v>25</v>
      </c>
      <c r="B781" t="s">
        <v>97</v>
      </c>
      <c r="C781" s="9">
        <v>46088</v>
      </c>
      <c r="D781" s="10">
        <v>14232</v>
      </c>
    </row>
    <row r="782" spans="1:4">
      <c r="A782" t="s">
        <v>25</v>
      </c>
      <c r="B782" t="s">
        <v>190</v>
      </c>
      <c r="C782" s="9">
        <v>46088</v>
      </c>
      <c r="D782" s="10">
        <v>16180</v>
      </c>
    </row>
    <row r="783" spans="1:4">
      <c r="A783" t="s">
        <v>6</v>
      </c>
      <c r="B783" t="s">
        <v>264</v>
      </c>
      <c r="C783" s="9">
        <v>46088</v>
      </c>
      <c r="D783" s="10">
        <v>44984</v>
      </c>
    </row>
    <row r="784" spans="1:4">
      <c r="A784" t="s">
        <v>6</v>
      </c>
      <c r="B784" t="s">
        <v>256</v>
      </c>
      <c r="C784" s="9">
        <v>46088</v>
      </c>
      <c r="D784" s="10">
        <v>16108</v>
      </c>
    </row>
    <row r="785" spans="1:4">
      <c r="A785" t="s">
        <v>7</v>
      </c>
      <c r="B785" t="s">
        <v>128</v>
      </c>
      <c r="C785" s="9">
        <v>46088</v>
      </c>
      <c r="D785" s="10">
        <v>37150</v>
      </c>
    </row>
    <row r="786" spans="1:4">
      <c r="A786" t="s">
        <v>9</v>
      </c>
      <c r="B786" t="s">
        <v>259</v>
      </c>
      <c r="C786" s="9">
        <v>46088</v>
      </c>
      <c r="D786" s="10">
        <v>34579</v>
      </c>
    </row>
    <row r="787" spans="1:4">
      <c r="A787" t="s">
        <v>9</v>
      </c>
      <c r="B787" t="s">
        <v>81</v>
      </c>
      <c r="C787" s="9">
        <v>46088</v>
      </c>
      <c r="D787" s="10">
        <v>31593</v>
      </c>
    </row>
    <row r="788" spans="1:4">
      <c r="A788" t="s">
        <v>9</v>
      </c>
      <c r="B788" t="s">
        <v>64</v>
      </c>
      <c r="C788" s="9">
        <v>46088</v>
      </c>
      <c r="D788" s="10">
        <v>19854</v>
      </c>
    </row>
    <row r="789" spans="1:4">
      <c r="A789" t="s">
        <v>9</v>
      </c>
      <c r="B789" t="s">
        <v>197</v>
      </c>
      <c r="C789" s="9">
        <v>46088</v>
      </c>
      <c r="D789" s="10">
        <v>37060</v>
      </c>
    </row>
    <row r="790" spans="1:4">
      <c r="A790" t="s">
        <v>5</v>
      </c>
      <c r="B790" t="s">
        <v>211</v>
      </c>
      <c r="C790" s="9">
        <v>46088</v>
      </c>
      <c r="D790" s="10">
        <v>32610</v>
      </c>
    </row>
    <row r="791" spans="1:4">
      <c r="A791" t="s">
        <v>5</v>
      </c>
      <c r="B791" t="s">
        <v>94</v>
      </c>
      <c r="C791" s="9">
        <v>46088</v>
      </c>
      <c r="D791" s="10">
        <v>38299</v>
      </c>
    </row>
    <row r="792" spans="1:4">
      <c r="A792" t="s">
        <v>4</v>
      </c>
      <c r="B792" t="s">
        <v>234</v>
      </c>
      <c r="C792" s="9">
        <v>46089</v>
      </c>
      <c r="D792" s="10">
        <v>6798</v>
      </c>
    </row>
    <row r="793" spans="1:4">
      <c r="A793" t="s">
        <v>26</v>
      </c>
      <c r="B793" t="s">
        <v>209</v>
      </c>
      <c r="C793" s="9">
        <v>46089</v>
      </c>
      <c r="D793" s="10">
        <v>20585</v>
      </c>
    </row>
    <row r="794" spans="1:4">
      <c r="A794" t="s">
        <v>30</v>
      </c>
      <c r="B794" t="s">
        <v>279</v>
      </c>
      <c r="C794" s="9">
        <v>46089</v>
      </c>
      <c r="D794" s="10">
        <v>13245</v>
      </c>
    </row>
    <row r="795" spans="1:4">
      <c r="A795" t="s">
        <v>7</v>
      </c>
      <c r="B795" t="s">
        <v>173</v>
      </c>
      <c r="C795" s="9">
        <v>46089</v>
      </c>
      <c r="D795" s="10">
        <v>25022</v>
      </c>
    </row>
    <row r="796" spans="1:4">
      <c r="A796" t="s">
        <v>37</v>
      </c>
      <c r="B796" t="s">
        <v>164</v>
      </c>
      <c r="C796" s="9">
        <v>46089</v>
      </c>
      <c r="D796" s="10">
        <v>11741</v>
      </c>
    </row>
    <row r="797" spans="1:4">
      <c r="A797" t="s">
        <v>9</v>
      </c>
      <c r="B797" t="s">
        <v>205</v>
      </c>
      <c r="C797" s="9">
        <v>46089</v>
      </c>
      <c r="D797" s="10">
        <v>36990</v>
      </c>
    </row>
    <row r="798" spans="1:4">
      <c r="A798" t="s">
        <v>5</v>
      </c>
      <c r="B798" t="s">
        <v>66</v>
      </c>
      <c r="C798" s="9">
        <v>46089</v>
      </c>
      <c r="D798" s="10">
        <v>31378</v>
      </c>
    </row>
    <row r="799" spans="1:4">
      <c r="A799" t="s">
        <v>5</v>
      </c>
      <c r="B799" t="s">
        <v>152</v>
      </c>
      <c r="C799" s="9">
        <v>46089</v>
      </c>
      <c r="D799" s="10">
        <v>41506</v>
      </c>
    </row>
    <row r="800" spans="1:4">
      <c r="A800" t="s">
        <v>4</v>
      </c>
      <c r="B800" t="s">
        <v>137</v>
      </c>
      <c r="C800" s="9">
        <v>46090</v>
      </c>
      <c r="D800" s="10">
        <v>33751</v>
      </c>
    </row>
    <row r="801" spans="1:4">
      <c r="A801" t="s">
        <v>25</v>
      </c>
      <c r="B801" t="s">
        <v>242</v>
      </c>
      <c r="C801" s="9">
        <v>46090</v>
      </c>
      <c r="D801" s="10">
        <v>14437</v>
      </c>
    </row>
    <row r="802" spans="1:4">
      <c r="A802" t="s">
        <v>25</v>
      </c>
      <c r="B802" t="s">
        <v>273</v>
      </c>
      <c r="C802" s="9">
        <v>46090</v>
      </c>
      <c r="D802" s="10">
        <v>15506</v>
      </c>
    </row>
    <row r="803" spans="1:4">
      <c r="A803" t="s">
        <v>6</v>
      </c>
      <c r="B803" t="s">
        <v>271</v>
      </c>
      <c r="C803" s="9">
        <v>46090</v>
      </c>
      <c r="D803" s="10">
        <v>27021</v>
      </c>
    </row>
    <row r="804" spans="1:4">
      <c r="A804" t="s">
        <v>9</v>
      </c>
      <c r="B804" t="s">
        <v>92</v>
      </c>
      <c r="C804" s="9">
        <v>46090</v>
      </c>
      <c r="D804" s="10">
        <v>46732</v>
      </c>
    </row>
    <row r="805" spans="1:4">
      <c r="A805" t="s">
        <v>9</v>
      </c>
      <c r="B805" t="s">
        <v>259</v>
      </c>
      <c r="C805" s="9">
        <v>46090</v>
      </c>
      <c r="D805" s="10">
        <v>25009</v>
      </c>
    </row>
    <row r="806" spans="1:4">
      <c r="A806" t="s">
        <v>9</v>
      </c>
      <c r="B806" t="s">
        <v>109</v>
      </c>
      <c r="C806" s="9">
        <v>46090</v>
      </c>
      <c r="D806" s="10">
        <v>48625</v>
      </c>
    </row>
    <row r="807" spans="1:4">
      <c r="A807" t="s">
        <v>5</v>
      </c>
      <c r="B807" t="s">
        <v>284</v>
      </c>
      <c r="C807" s="9">
        <v>46090</v>
      </c>
      <c r="D807" s="10">
        <v>33630</v>
      </c>
    </row>
    <row r="808" spans="1:4">
      <c r="A808" t="s">
        <v>5</v>
      </c>
      <c r="B808" t="s">
        <v>285</v>
      </c>
      <c r="C808" s="9">
        <v>46090</v>
      </c>
      <c r="D808" s="10">
        <v>33673</v>
      </c>
    </row>
    <row r="809" spans="1:4">
      <c r="A809" t="s">
        <v>5</v>
      </c>
      <c r="B809" t="s">
        <v>176</v>
      </c>
      <c r="C809" s="9">
        <v>46090</v>
      </c>
      <c r="D809" s="10">
        <v>40465</v>
      </c>
    </row>
    <row r="810" spans="1:4">
      <c r="A810" t="s">
        <v>5</v>
      </c>
      <c r="B810" t="s">
        <v>230</v>
      </c>
      <c r="C810" s="9">
        <v>46090</v>
      </c>
      <c r="D810" s="10">
        <v>50529</v>
      </c>
    </row>
    <row r="811" spans="1:4">
      <c r="A811" t="s">
        <v>5</v>
      </c>
      <c r="B811" t="s">
        <v>178</v>
      </c>
      <c r="C811" s="9">
        <v>46090</v>
      </c>
      <c r="D811" s="10">
        <v>55918</v>
      </c>
    </row>
    <row r="812" spans="1:4">
      <c r="A812" t="s">
        <v>5</v>
      </c>
      <c r="B812" t="s">
        <v>179</v>
      </c>
      <c r="C812" s="9">
        <v>46090</v>
      </c>
      <c r="D812" s="10">
        <v>42983</v>
      </c>
    </row>
    <row r="813" spans="1:4">
      <c r="A813" t="s">
        <v>25</v>
      </c>
      <c r="B813" t="s">
        <v>240</v>
      </c>
      <c r="C813" s="9">
        <v>46091</v>
      </c>
      <c r="D813" s="10">
        <v>6651</v>
      </c>
    </row>
    <row r="814" spans="1:4">
      <c r="A814" t="s">
        <v>33</v>
      </c>
      <c r="B814" t="s">
        <v>244</v>
      </c>
      <c r="C814" s="9">
        <v>46091</v>
      </c>
      <c r="D814" s="10">
        <v>15341</v>
      </c>
    </row>
    <row r="815" spans="1:4">
      <c r="A815" t="s">
        <v>7</v>
      </c>
      <c r="B815" t="s">
        <v>282</v>
      </c>
      <c r="C815" s="9">
        <v>46091</v>
      </c>
      <c r="D815" s="10">
        <v>23238</v>
      </c>
    </row>
    <row r="816" spans="1:4">
      <c r="A816" t="s">
        <v>9</v>
      </c>
      <c r="B816" t="s">
        <v>291</v>
      </c>
      <c r="C816" s="9">
        <v>46091</v>
      </c>
      <c r="D816" s="10">
        <v>22540</v>
      </c>
    </row>
    <row r="817" spans="1:4">
      <c r="A817" t="s">
        <v>9</v>
      </c>
      <c r="B817" t="s">
        <v>65</v>
      </c>
      <c r="C817" s="9">
        <v>46091</v>
      </c>
      <c r="D817" s="10">
        <v>16159</v>
      </c>
    </row>
    <row r="818" spans="1:4">
      <c r="A818" t="s">
        <v>5</v>
      </c>
      <c r="B818" t="s">
        <v>107</v>
      </c>
      <c r="C818" s="9">
        <v>46091</v>
      </c>
      <c r="D818" s="10">
        <v>35880</v>
      </c>
    </row>
    <row r="819" spans="1:4">
      <c r="A819" t="s">
        <v>5</v>
      </c>
      <c r="B819" t="s">
        <v>107</v>
      </c>
      <c r="C819" s="9">
        <v>46091</v>
      </c>
      <c r="D819" s="10">
        <v>39212</v>
      </c>
    </row>
    <row r="820" spans="1:4">
      <c r="A820" t="s">
        <v>5</v>
      </c>
      <c r="B820" t="s">
        <v>143</v>
      </c>
      <c r="C820" s="9">
        <v>46091</v>
      </c>
      <c r="D820" s="10">
        <v>41777</v>
      </c>
    </row>
    <row r="821" spans="1:4">
      <c r="A821" t="s">
        <v>5</v>
      </c>
      <c r="B821" t="s">
        <v>69</v>
      </c>
      <c r="C821" s="9">
        <v>46091</v>
      </c>
      <c r="D821" s="10">
        <v>40434</v>
      </c>
    </row>
    <row r="822" spans="1:4">
      <c r="A822" t="s">
        <v>4</v>
      </c>
      <c r="B822" t="s">
        <v>111</v>
      </c>
      <c r="C822" s="9">
        <v>46092</v>
      </c>
      <c r="D822" s="10">
        <v>29663</v>
      </c>
    </row>
    <row r="823" spans="1:4">
      <c r="A823" t="s">
        <v>4</v>
      </c>
      <c r="B823" t="s">
        <v>124</v>
      </c>
      <c r="C823" s="9">
        <v>46092</v>
      </c>
      <c r="D823" s="10">
        <v>35114</v>
      </c>
    </row>
    <row r="824" spans="1:4">
      <c r="A824" t="s">
        <v>26</v>
      </c>
      <c r="B824" t="s">
        <v>149</v>
      </c>
      <c r="C824" s="9">
        <v>46092</v>
      </c>
      <c r="D824" s="10">
        <v>14464</v>
      </c>
    </row>
    <row r="825" spans="1:4">
      <c r="A825" t="s">
        <v>26</v>
      </c>
      <c r="B825" t="s">
        <v>112</v>
      </c>
      <c r="C825" s="9">
        <v>46092</v>
      </c>
      <c r="D825" s="10">
        <v>7702</v>
      </c>
    </row>
    <row r="826" spans="1:4">
      <c r="A826" t="s">
        <v>26</v>
      </c>
      <c r="B826" t="s">
        <v>216</v>
      </c>
      <c r="C826" s="9">
        <v>46092</v>
      </c>
      <c r="D826" s="10">
        <v>15760</v>
      </c>
    </row>
    <row r="827" spans="1:4">
      <c r="A827" t="s">
        <v>8</v>
      </c>
      <c r="B827" t="s">
        <v>59</v>
      </c>
      <c r="C827" s="9">
        <v>46092</v>
      </c>
      <c r="D827" s="10">
        <v>9212</v>
      </c>
    </row>
    <row r="828" spans="1:4">
      <c r="A828" t="s">
        <v>29</v>
      </c>
      <c r="B828" t="s">
        <v>263</v>
      </c>
      <c r="C828" s="9">
        <v>46092</v>
      </c>
      <c r="D828" s="10">
        <v>13500</v>
      </c>
    </row>
    <row r="829" spans="1:4">
      <c r="A829" t="s">
        <v>9</v>
      </c>
      <c r="B829" t="s">
        <v>134</v>
      </c>
      <c r="C829" s="9">
        <v>46092</v>
      </c>
      <c r="D829" s="10">
        <v>44554</v>
      </c>
    </row>
    <row r="830" spans="1:4">
      <c r="A830" t="s">
        <v>9</v>
      </c>
      <c r="B830" t="s">
        <v>102</v>
      </c>
      <c r="C830" s="9">
        <v>46092</v>
      </c>
      <c r="D830" s="10">
        <v>30015</v>
      </c>
    </row>
    <row r="831" spans="1:4">
      <c r="A831" t="s">
        <v>9</v>
      </c>
      <c r="B831" t="s">
        <v>191</v>
      </c>
      <c r="C831" s="9">
        <v>46092</v>
      </c>
      <c r="D831" s="10">
        <v>38598</v>
      </c>
    </row>
    <row r="832" spans="1:4">
      <c r="A832" t="s">
        <v>9</v>
      </c>
      <c r="B832" t="s">
        <v>76</v>
      </c>
      <c r="C832" s="9">
        <v>46092</v>
      </c>
      <c r="D832" s="10">
        <v>37561</v>
      </c>
    </row>
    <row r="833" spans="1:4">
      <c r="A833" t="s">
        <v>5</v>
      </c>
      <c r="B833" t="s">
        <v>108</v>
      </c>
      <c r="C833" s="9">
        <v>46092</v>
      </c>
      <c r="D833" s="10">
        <v>44952</v>
      </c>
    </row>
    <row r="834" spans="1:4">
      <c r="A834" t="s">
        <v>5</v>
      </c>
      <c r="B834" t="s">
        <v>168</v>
      </c>
      <c r="C834" s="9">
        <v>46092</v>
      </c>
      <c r="D834" s="10">
        <v>35002</v>
      </c>
    </row>
    <row r="835" spans="1:4">
      <c r="A835" t="s">
        <v>5</v>
      </c>
      <c r="B835" t="s">
        <v>118</v>
      </c>
      <c r="C835" s="9">
        <v>46092</v>
      </c>
      <c r="D835" s="10">
        <v>53843</v>
      </c>
    </row>
    <row r="836" spans="1:4">
      <c r="A836" t="s">
        <v>5</v>
      </c>
      <c r="B836" t="s">
        <v>258</v>
      </c>
      <c r="C836" s="9">
        <v>46092</v>
      </c>
      <c r="D836" s="10">
        <v>40956</v>
      </c>
    </row>
    <row r="837" spans="1:4">
      <c r="A837" t="s">
        <v>5</v>
      </c>
      <c r="B837" t="s">
        <v>71</v>
      </c>
      <c r="C837" s="9">
        <v>46092</v>
      </c>
      <c r="D837" s="10">
        <v>41411</v>
      </c>
    </row>
    <row r="838" spans="1:4">
      <c r="A838" t="s">
        <v>38</v>
      </c>
      <c r="B838" t="s">
        <v>58</v>
      </c>
      <c r="C838" s="9">
        <v>46093</v>
      </c>
      <c r="D838" s="10">
        <v>13073</v>
      </c>
    </row>
    <row r="839" spans="1:4">
      <c r="A839" t="s">
        <v>4</v>
      </c>
      <c r="B839" t="s">
        <v>214</v>
      </c>
      <c r="C839" s="9">
        <v>46093</v>
      </c>
      <c r="D839" s="10">
        <v>8557</v>
      </c>
    </row>
    <row r="840" spans="1:4">
      <c r="A840" t="s">
        <v>4</v>
      </c>
      <c r="B840" t="s">
        <v>188</v>
      </c>
      <c r="C840" s="9">
        <v>46093</v>
      </c>
      <c r="D840" s="10">
        <v>36628</v>
      </c>
    </row>
    <row r="841" spans="1:4">
      <c r="A841" t="s">
        <v>4</v>
      </c>
      <c r="B841" t="s">
        <v>250</v>
      </c>
      <c r="C841" s="9">
        <v>46093</v>
      </c>
      <c r="D841" s="10">
        <v>39362</v>
      </c>
    </row>
    <row r="842" spans="1:4">
      <c r="A842" t="s">
        <v>4</v>
      </c>
      <c r="B842" t="s">
        <v>71</v>
      </c>
      <c r="C842" s="9">
        <v>46093</v>
      </c>
      <c r="D842" s="10">
        <v>47120</v>
      </c>
    </row>
    <row r="843" spans="1:4">
      <c r="A843" t="s">
        <v>25</v>
      </c>
      <c r="B843" t="s">
        <v>86</v>
      </c>
      <c r="C843" s="9">
        <v>46093</v>
      </c>
      <c r="D843" s="10">
        <v>14956</v>
      </c>
    </row>
    <row r="844" spans="1:4">
      <c r="A844" t="s">
        <v>8</v>
      </c>
      <c r="B844" t="s">
        <v>182</v>
      </c>
      <c r="C844" s="9">
        <v>46093</v>
      </c>
      <c r="D844" s="10">
        <v>13029</v>
      </c>
    </row>
    <row r="845" spans="1:4">
      <c r="A845" t="s">
        <v>8</v>
      </c>
      <c r="B845" t="s">
        <v>159</v>
      </c>
      <c r="C845" s="9">
        <v>46093</v>
      </c>
      <c r="D845" s="10">
        <v>15081</v>
      </c>
    </row>
    <row r="846" spans="1:4">
      <c r="A846" t="s">
        <v>8</v>
      </c>
      <c r="B846" t="s">
        <v>245</v>
      </c>
      <c r="C846" s="9">
        <v>46093</v>
      </c>
      <c r="D846" s="10">
        <v>43236</v>
      </c>
    </row>
    <row r="847" spans="1:4">
      <c r="A847" t="s">
        <v>6</v>
      </c>
      <c r="B847" t="s">
        <v>113</v>
      </c>
      <c r="C847" s="9">
        <v>46093</v>
      </c>
      <c r="D847" s="10">
        <v>18228</v>
      </c>
    </row>
    <row r="848" spans="1:4">
      <c r="A848" t="s">
        <v>6</v>
      </c>
      <c r="B848" t="s">
        <v>105</v>
      </c>
      <c r="C848" s="9">
        <v>46093</v>
      </c>
      <c r="D848" s="10">
        <v>6416</v>
      </c>
    </row>
    <row r="849" spans="1:4">
      <c r="A849" t="s">
        <v>9</v>
      </c>
      <c r="B849" t="s">
        <v>115</v>
      </c>
      <c r="C849" s="9">
        <v>46093</v>
      </c>
      <c r="D849" s="10">
        <v>26455</v>
      </c>
    </row>
    <row r="850" spans="1:4">
      <c r="A850" t="s">
        <v>9</v>
      </c>
      <c r="B850" t="s">
        <v>259</v>
      </c>
      <c r="C850" s="9">
        <v>46093</v>
      </c>
      <c r="D850" s="10">
        <v>34463</v>
      </c>
    </row>
    <row r="851" spans="1:4">
      <c r="A851" t="s">
        <v>9</v>
      </c>
      <c r="B851" t="s">
        <v>90</v>
      </c>
      <c r="C851" s="9">
        <v>46093</v>
      </c>
      <c r="D851" s="10">
        <v>27053</v>
      </c>
    </row>
    <row r="852" spans="1:4">
      <c r="A852" t="s">
        <v>9</v>
      </c>
      <c r="B852" t="s">
        <v>106</v>
      </c>
      <c r="C852" s="9">
        <v>46093</v>
      </c>
      <c r="D852" s="10">
        <v>30104</v>
      </c>
    </row>
    <row r="853" spans="1:4">
      <c r="A853" t="s">
        <v>9</v>
      </c>
      <c r="B853" t="s">
        <v>131</v>
      </c>
      <c r="C853" s="9">
        <v>46093</v>
      </c>
      <c r="D853" s="10">
        <v>25676</v>
      </c>
    </row>
    <row r="854" spans="1:4">
      <c r="A854" t="s">
        <v>9</v>
      </c>
      <c r="B854" t="s">
        <v>186</v>
      </c>
      <c r="C854" s="9">
        <v>46093</v>
      </c>
      <c r="D854" s="10">
        <v>25400</v>
      </c>
    </row>
    <row r="855" spans="1:4">
      <c r="A855" t="s">
        <v>5</v>
      </c>
      <c r="B855" t="s">
        <v>78</v>
      </c>
      <c r="C855" s="9">
        <v>46093</v>
      </c>
      <c r="D855" s="10">
        <v>45180</v>
      </c>
    </row>
    <row r="856" spans="1:4">
      <c r="A856" t="s">
        <v>5</v>
      </c>
      <c r="B856" t="s">
        <v>168</v>
      </c>
      <c r="C856" s="9">
        <v>46093</v>
      </c>
      <c r="D856" s="10">
        <v>41388</v>
      </c>
    </row>
    <row r="857" spans="1:4">
      <c r="A857" t="s">
        <v>5</v>
      </c>
      <c r="B857" t="s">
        <v>68</v>
      </c>
      <c r="C857" s="9">
        <v>46093</v>
      </c>
      <c r="D857" s="10">
        <v>47733</v>
      </c>
    </row>
    <row r="858" spans="1:4">
      <c r="A858" t="s">
        <v>5</v>
      </c>
      <c r="B858" t="s">
        <v>110</v>
      </c>
      <c r="C858" s="9">
        <v>46093</v>
      </c>
      <c r="D858" s="10">
        <v>34959</v>
      </c>
    </row>
    <row r="859" spans="1:4">
      <c r="A859" t="s">
        <v>27</v>
      </c>
      <c r="B859" t="s">
        <v>96</v>
      </c>
      <c r="C859" s="9">
        <v>46094</v>
      </c>
      <c r="D859" s="10">
        <v>5346</v>
      </c>
    </row>
    <row r="860" spans="1:4">
      <c r="A860" t="s">
        <v>26</v>
      </c>
      <c r="B860" t="s">
        <v>252</v>
      </c>
      <c r="C860" s="9">
        <v>46094</v>
      </c>
      <c r="D860" s="10">
        <v>16421</v>
      </c>
    </row>
    <row r="861" spans="1:4">
      <c r="A861" t="s">
        <v>7</v>
      </c>
      <c r="B861" t="s">
        <v>266</v>
      </c>
      <c r="C861" s="9">
        <v>46094</v>
      </c>
      <c r="D861" s="10">
        <v>28313</v>
      </c>
    </row>
    <row r="862" spans="1:4">
      <c r="A862" t="s">
        <v>7</v>
      </c>
      <c r="B862" t="s">
        <v>100</v>
      </c>
      <c r="C862" s="9">
        <v>46094</v>
      </c>
      <c r="D862" s="10">
        <v>23211</v>
      </c>
    </row>
    <row r="863" spans="1:4">
      <c r="A863" t="s">
        <v>7</v>
      </c>
      <c r="B863" t="s">
        <v>219</v>
      </c>
      <c r="C863" s="9">
        <v>46094</v>
      </c>
      <c r="D863" s="10">
        <v>13020</v>
      </c>
    </row>
    <row r="864" spans="1:4">
      <c r="A864" t="s">
        <v>9</v>
      </c>
      <c r="B864" t="s">
        <v>174</v>
      </c>
      <c r="C864" s="9">
        <v>46094</v>
      </c>
      <c r="D864" s="10">
        <v>30638</v>
      </c>
    </row>
    <row r="865" spans="1:4">
      <c r="A865" t="s">
        <v>9</v>
      </c>
      <c r="B865" t="s">
        <v>206</v>
      </c>
      <c r="C865" s="9">
        <v>46094</v>
      </c>
      <c r="D865" s="10">
        <v>42409</v>
      </c>
    </row>
    <row r="866" spans="1:4">
      <c r="A866" t="s">
        <v>5</v>
      </c>
      <c r="B866" t="s">
        <v>117</v>
      </c>
      <c r="C866" s="9">
        <v>46094</v>
      </c>
      <c r="D866" s="10">
        <v>36116</v>
      </c>
    </row>
    <row r="867" spans="1:4">
      <c r="A867" t="s">
        <v>5</v>
      </c>
      <c r="B867" t="s">
        <v>199</v>
      </c>
      <c r="C867" s="9">
        <v>46094</v>
      </c>
      <c r="D867" s="10">
        <v>48472</v>
      </c>
    </row>
    <row r="868" spans="1:4">
      <c r="A868" t="s">
        <v>5</v>
      </c>
      <c r="B868" t="s">
        <v>68</v>
      </c>
      <c r="C868" s="9">
        <v>46094</v>
      </c>
      <c r="D868" s="10">
        <v>49959</v>
      </c>
    </row>
    <row r="869" spans="1:4">
      <c r="A869" t="s">
        <v>5</v>
      </c>
      <c r="B869" t="s">
        <v>71</v>
      </c>
      <c r="C869" s="9">
        <v>46094</v>
      </c>
      <c r="D869" s="10">
        <v>45912</v>
      </c>
    </row>
    <row r="870" spans="1:4">
      <c r="A870" t="s">
        <v>27</v>
      </c>
      <c r="B870" t="s">
        <v>85</v>
      </c>
      <c r="C870" s="9">
        <v>46095</v>
      </c>
      <c r="D870" s="10">
        <v>14764</v>
      </c>
    </row>
    <row r="871" spans="1:4">
      <c r="A871" t="s">
        <v>29</v>
      </c>
      <c r="B871" t="s">
        <v>275</v>
      </c>
      <c r="C871" s="9">
        <v>46095</v>
      </c>
      <c r="D871" s="10">
        <v>13388</v>
      </c>
    </row>
    <row r="872" spans="1:4">
      <c r="A872" t="s">
        <v>9</v>
      </c>
      <c r="B872" t="s">
        <v>132</v>
      </c>
      <c r="C872" s="9">
        <v>46095</v>
      </c>
      <c r="D872" s="10">
        <v>30223</v>
      </c>
    </row>
    <row r="873" spans="1:4">
      <c r="A873" t="s">
        <v>5</v>
      </c>
      <c r="B873" t="s">
        <v>93</v>
      </c>
      <c r="C873" s="9">
        <v>46095</v>
      </c>
      <c r="D873" s="10">
        <v>35428</v>
      </c>
    </row>
    <row r="874" spans="1:4">
      <c r="A874" t="s">
        <v>5</v>
      </c>
      <c r="B874" t="s">
        <v>121</v>
      </c>
      <c r="C874" s="9">
        <v>46095</v>
      </c>
      <c r="D874" s="10">
        <v>42505</v>
      </c>
    </row>
    <row r="875" spans="1:4">
      <c r="A875" t="s">
        <v>5</v>
      </c>
      <c r="B875" t="s">
        <v>136</v>
      </c>
      <c r="C875" s="9">
        <v>46095</v>
      </c>
      <c r="D875" s="10">
        <v>39922</v>
      </c>
    </row>
    <row r="876" spans="1:4">
      <c r="A876" t="s">
        <v>5</v>
      </c>
      <c r="B876" t="s">
        <v>109</v>
      </c>
      <c r="C876" s="9">
        <v>46095</v>
      </c>
      <c r="D876" s="10">
        <v>37698</v>
      </c>
    </row>
    <row r="877" spans="1:4">
      <c r="A877" t="s">
        <v>5</v>
      </c>
      <c r="B877" t="s">
        <v>169</v>
      </c>
      <c r="C877" s="9">
        <v>46095</v>
      </c>
      <c r="D877" s="10">
        <v>28924</v>
      </c>
    </row>
    <row r="878" spans="1:4">
      <c r="A878" t="s">
        <v>5</v>
      </c>
      <c r="B878" t="s">
        <v>70</v>
      </c>
      <c r="C878" s="9">
        <v>46095</v>
      </c>
      <c r="D878" s="10">
        <v>44069</v>
      </c>
    </row>
    <row r="879" spans="1:4">
      <c r="A879" t="s">
        <v>4</v>
      </c>
      <c r="B879" t="s">
        <v>153</v>
      </c>
      <c r="C879" s="9">
        <v>46096</v>
      </c>
      <c r="D879" s="10">
        <v>39293</v>
      </c>
    </row>
    <row r="880" spans="1:4">
      <c r="A880" t="s">
        <v>31</v>
      </c>
      <c r="B880" t="s">
        <v>155</v>
      </c>
      <c r="C880" s="9">
        <v>46096</v>
      </c>
      <c r="D880" s="10">
        <v>10514</v>
      </c>
    </row>
    <row r="881" spans="1:4">
      <c r="A881" t="s">
        <v>28</v>
      </c>
      <c r="B881" t="s">
        <v>237</v>
      </c>
      <c r="C881" s="9">
        <v>46096</v>
      </c>
      <c r="D881" s="10">
        <v>9796</v>
      </c>
    </row>
    <row r="882" spans="1:4">
      <c r="A882" t="s">
        <v>26</v>
      </c>
      <c r="B882" t="s">
        <v>147</v>
      </c>
      <c r="C882" s="9">
        <v>46096</v>
      </c>
      <c r="D882" s="10">
        <v>11148</v>
      </c>
    </row>
    <row r="883" spans="1:4">
      <c r="A883" t="s">
        <v>8</v>
      </c>
      <c r="B883" t="s">
        <v>139</v>
      </c>
      <c r="C883" s="9">
        <v>46096</v>
      </c>
      <c r="D883" s="10">
        <v>16329</v>
      </c>
    </row>
    <row r="884" spans="1:4">
      <c r="A884" t="s">
        <v>32</v>
      </c>
      <c r="B884" t="s">
        <v>89</v>
      </c>
      <c r="C884" s="9">
        <v>46096</v>
      </c>
      <c r="D884" s="10">
        <v>11454</v>
      </c>
    </row>
    <row r="885" spans="1:4">
      <c r="A885" t="s">
        <v>29</v>
      </c>
      <c r="B885" t="s">
        <v>114</v>
      </c>
      <c r="C885" s="9">
        <v>46096</v>
      </c>
      <c r="D885" s="10">
        <v>25690</v>
      </c>
    </row>
    <row r="886" spans="1:4">
      <c r="A886" t="s">
        <v>9</v>
      </c>
      <c r="B886" t="s">
        <v>91</v>
      </c>
      <c r="C886" s="9">
        <v>46096</v>
      </c>
      <c r="D886" s="10">
        <v>31751</v>
      </c>
    </row>
    <row r="887" spans="1:4">
      <c r="A887" t="s">
        <v>9</v>
      </c>
      <c r="B887" t="s">
        <v>166</v>
      </c>
      <c r="C887" s="9">
        <v>46096</v>
      </c>
      <c r="D887" s="10">
        <v>34813</v>
      </c>
    </row>
    <row r="888" spans="1:4">
      <c r="A888" t="s">
        <v>9</v>
      </c>
      <c r="B888" t="s">
        <v>76</v>
      </c>
      <c r="C888" s="9">
        <v>46096</v>
      </c>
      <c r="D888" s="10">
        <v>27622</v>
      </c>
    </row>
    <row r="889" spans="1:4">
      <c r="A889" t="s">
        <v>5</v>
      </c>
      <c r="B889" t="s">
        <v>77</v>
      </c>
      <c r="C889" s="9">
        <v>46096</v>
      </c>
      <c r="D889" s="10">
        <v>32818</v>
      </c>
    </row>
    <row r="890" spans="1:4">
      <c r="A890" t="s">
        <v>5</v>
      </c>
      <c r="B890" t="s">
        <v>93</v>
      </c>
      <c r="C890" s="9">
        <v>46096</v>
      </c>
      <c r="D890" s="10">
        <v>32455</v>
      </c>
    </row>
    <row r="891" spans="1:4">
      <c r="A891" t="s">
        <v>5</v>
      </c>
      <c r="B891" t="s">
        <v>293</v>
      </c>
      <c r="C891" s="9">
        <v>46096</v>
      </c>
      <c r="D891" s="10">
        <v>47847</v>
      </c>
    </row>
    <row r="892" spans="1:4">
      <c r="A892" t="s">
        <v>4</v>
      </c>
      <c r="B892" t="s">
        <v>123</v>
      </c>
      <c r="C892" s="9">
        <v>46097</v>
      </c>
      <c r="D892" s="10">
        <v>23356</v>
      </c>
    </row>
    <row r="893" spans="1:4">
      <c r="A893" t="s">
        <v>28</v>
      </c>
      <c r="B893" t="s">
        <v>148</v>
      </c>
      <c r="C893" s="9">
        <v>46097</v>
      </c>
      <c r="D893" s="10">
        <v>10146</v>
      </c>
    </row>
    <row r="894" spans="1:4">
      <c r="A894" t="s">
        <v>26</v>
      </c>
      <c r="B894" t="s">
        <v>84</v>
      </c>
      <c r="C894" s="9">
        <v>46097</v>
      </c>
      <c r="D894" s="10">
        <v>13269</v>
      </c>
    </row>
    <row r="895" spans="1:4">
      <c r="A895" t="s">
        <v>30</v>
      </c>
      <c r="B895" t="s">
        <v>138</v>
      </c>
      <c r="C895" s="9">
        <v>46097</v>
      </c>
      <c r="D895" s="10">
        <v>13432</v>
      </c>
    </row>
    <row r="896" spans="1:4">
      <c r="A896" t="s">
        <v>7</v>
      </c>
      <c r="B896" t="s">
        <v>150</v>
      </c>
      <c r="C896" s="9">
        <v>46097</v>
      </c>
      <c r="D896" s="10">
        <v>22173</v>
      </c>
    </row>
    <row r="897" spans="1:4">
      <c r="A897" t="s">
        <v>7</v>
      </c>
      <c r="B897" t="s">
        <v>221</v>
      </c>
      <c r="C897" s="9">
        <v>46097</v>
      </c>
      <c r="D897" s="10">
        <v>14256</v>
      </c>
    </row>
    <row r="898" spans="1:4">
      <c r="A898" t="s">
        <v>9</v>
      </c>
      <c r="B898" t="s">
        <v>116</v>
      </c>
      <c r="C898" s="9">
        <v>46097</v>
      </c>
      <c r="D898" s="10">
        <v>39623</v>
      </c>
    </row>
    <row r="899" spans="1:4">
      <c r="A899" t="s">
        <v>9</v>
      </c>
      <c r="B899" t="s">
        <v>132</v>
      </c>
      <c r="C899" s="9">
        <v>46097</v>
      </c>
      <c r="D899" s="10">
        <v>30844</v>
      </c>
    </row>
    <row r="900" spans="1:4">
      <c r="A900" t="s">
        <v>5</v>
      </c>
      <c r="B900" t="s">
        <v>187</v>
      </c>
      <c r="C900" s="9">
        <v>46097</v>
      </c>
      <c r="D900" s="10">
        <v>43110</v>
      </c>
    </row>
    <row r="901" spans="1:4">
      <c r="A901" t="s">
        <v>5</v>
      </c>
      <c r="B901" t="s">
        <v>78</v>
      </c>
      <c r="C901" s="9">
        <v>46097</v>
      </c>
      <c r="D901" s="10">
        <v>44963</v>
      </c>
    </row>
    <row r="902" spans="1:4">
      <c r="A902" t="s">
        <v>5</v>
      </c>
      <c r="B902" t="s">
        <v>230</v>
      </c>
      <c r="C902" s="9">
        <v>46097</v>
      </c>
      <c r="D902" s="10">
        <v>34998</v>
      </c>
    </row>
    <row r="903" spans="1:4">
      <c r="A903" t="s">
        <v>28</v>
      </c>
      <c r="B903" t="s">
        <v>196</v>
      </c>
      <c r="C903" s="9">
        <v>46098</v>
      </c>
      <c r="D903" s="10">
        <v>15432</v>
      </c>
    </row>
    <row r="904" spans="1:4">
      <c r="A904" t="s">
        <v>26</v>
      </c>
      <c r="B904" t="s">
        <v>260</v>
      </c>
      <c r="C904" s="9">
        <v>46098</v>
      </c>
      <c r="D904" s="10">
        <v>14282</v>
      </c>
    </row>
    <row r="905" spans="1:4">
      <c r="A905" t="s">
        <v>30</v>
      </c>
      <c r="B905" t="s">
        <v>60</v>
      </c>
      <c r="C905" s="9">
        <v>46098</v>
      </c>
      <c r="D905" s="10">
        <v>11276</v>
      </c>
    </row>
    <row r="906" spans="1:4">
      <c r="A906" t="s">
        <v>8</v>
      </c>
      <c r="B906" t="s">
        <v>232</v>
      </c>
      <c r="C906" s="9">
        <v>46098</v>
      </c>
      <c r="D906" s="10">
        <v>20898</v>
      </c>
    </row>
    <row r="907" spans="1:4">
      <c r="A907" t="s">
        <v>6</v>
      </c>
      <c r="B907" t="s">
        <v>184</v>
      </c>
      <c r="C907" s="9">
        <v>46098</v>
      </c>
      <c r="D907" s="10">
        <v>19047</v>
      </c>
    </row>
    <row r="908" spans="1:4">
      <c r="A908" t="s">
        <v>6</v>
      </c>
      <c r="B908" t="s">
        <v>74</v>
      </c>
      <c r="C908" s="9">
        <v>46098</v>
      </c>
      <c r="D908" s="10">
        <v>20636</v>
      </c>
    </row>
    <row r="909" spans="1:4">
      <c r="A909" t="s">
        <v>7</v>
      </c>
      <c r="B909" t="s">
        <v>267</v>
      </c>
      <c r="C909" s="9">
        <v>46098</v>
      </c>
      <c r="D909" s="10">
        <v>27171</v>
      </c>
    </row>
    <row r="910" spans="1:4">
      <c r="A910" t="s">
        <v>7</v>
      </c>
      <c r="B910" t="s">
        <v>163</v>
      </c>
      <c r="C910" s="9">
        <v>46098</v>
      </c>
      <c r="D910" s="10">
        <v>20771</v>
      </c>
    </row>
    <row r="911" spans="1:4">
      <c r="A911" t="s">
        <v>9</v>
      </c>
      <c r="B911" t="s">
        <v>102</v>
      </c>
      <c r="C911" s="9">
        <v>46098</v>
      </c>
      <c r="D911" s="10">
        <v>35266</v>
      </c>
    </row>
    <row r="912" spans="1:4">
      <c r="A912" t="s">
        <v>9</v>
      </c>
      <c r="B912" t="s">
        <v>90</v>
      </c>
      <c r="C912" s="9">
        <v>46098</v>
      </c>
      <c r="D912" s="10">
        <v>24464</v>
      </c>
    </row>
    <row r="913" spans="1:4">
      <c r="A913" t="s">
        <v>9</v>
      </c>
      <c r="B913" t="s">
        <v>223</v>
      </c>
      <c r="C913" s="9">
        <v>46098</v>
      </c>
      <c r="D913" s="10">
        <v>38147</v>
      </c>
    </row>
    <row r="914" spans="1:4">
      <c r="A914" t="s">
        <v>5</v>
      </c>
      <c r="B914" t="s">
        <v>135</v>
      </c>
      <c r="C914" s="9">
        <v>46098</v>
      </c>
      <c r="D914" s="10">
        <v>35024</v>
      </c>
    </row>
    <row r="915" spans="1:4">
      <c r="A915" t="s">
        <v>5</v>
      </c>
      <c r="B915" t="s">
        <v>135</v>
      </c>
      <c r="C915" s="9">
        <v>46098</v>
      </c>
      <c r="D915" s="10">
        <v>37828</v>
      </c>
    </row>
    <row r="916" spans="1:4">
      <c r="A916" t="s">
        <v>5</v>
      </c>
      <c r="B916" t="s">
        <v>93</v>
      </c>
      <c r="C916" s="9">
        <v>46098</v>
      </c>
      <c r="D916" s="10">
        <v>33322</v>
      </c>
    </row>
    <row r="917" spans="1:4">
      <c r="A917" t="s">
        <v>35</v>
      </c>
      <c r="B917" t="s">
        <v>246</v>
      </c>
      <c r="C917" s="9">
        <v>46099</v>
      </c>
      <c r="D917" s="10">
        <v>5200</v>
      </c>
    </row>
    <row r="918" spans="1:4">
      <c r="A918" t="s">
        <v>4</v>
      </c>
      <c r="B918" t="s">
        <v>145</v>
      </c>
      <c r="C918" s="9">
        <v>46099</v>
      </c>
      <c r="D918" s="10">
        <v>39019</v>
      </c>
    </row>
    <row r="919" spans="1:4">
      <c r="A919" t="s">
        <v>4</v>
      </c>
      <c r="B919" t="s">
        <v>72</v>
      </c>
      <c r="C919" s="9">
        <v>46099</v>
      </c>
      <c r="D919" s="10">
        <v>24463</v>
      </c>
    </row>
    <row r="920" spans="1:4">
      <c r="A920" t="s">
        <v>4</v>
      </c>
      <c r="B920" t="s">
        <v>193</v>
      </c>
      <c r="C920" s="9">
        <v>46099</v>
      </c>
      <c r="D920" s="10">
        <v>29395</v>
      </c>
    </row>
    <row r="921" spans="1:4">
      <c r="A921" t="s">
        <v>36</v>
      </c>
      <c r="B921" t="s">
        <v>287</v>
      </c>
      <c r="C921" s="9">
        <v>46099</v>
      </c>
      <c r="D921" s="10">
        <v>11042</v>
      </c>
    </row>
    <row r="922" spans="1:4">
      <c r="A922" t="s">
        <v>26</v>
      </c>
      <c r="B922" t="s">
        <v>156</v>
      </c>
      <c r="C922" s="9">
        <v>46099</v>
      </c>
      <c r="D922" s="10">
        <v>13920</v>
      </c>
    </row>
    <row r="923" spans="1:4">
      <c r="A923" t="s">
        <v>9</v>
      </c>
      <c r="B923" t="s">
        <v>174</v>
      </c>
      <c r="C923" s="9">
        <v>46099</v>
      </c>
      <c r="D923" s="10">
        <v>29329</v>
      </c>
    </row>
    <row r="924" spans="1:4">
      <c r="A924" t="s">
        <v>9</v>
      </c>
      <c r="B924" t="s">
        <v>151</v>
      </c>
      <c r="C924" s="9">
        <v>46099</v>
      </c>
      <c r="D924" s="10">
        <v>16168</v>
      </c>
    </row>
    <row r="925" spans="1:4">
      <c r="A925" t="s">
        <v>9</v>
      </c>
      <c r="B925" t="s">
        <v>283</v>
      </c>
      <c r="C925" s="9">
        <v>46099</v>
      </c>
      <c r="D925" s="10">
        <v>52448</v>
      </c>
    </row>
    <row r="926" spans="1:4">
      <c r="A926" t="s">
        <v>5</v>
      </c>
      <c r="B926" t="s">
        <v>78</v>
      </c>
      <c r="C926" s="9">
        <v>46099</v>
      </c>
      <c r="D926" s="10">
        <v>44390</v>
      </c>
    </row>
    <row r="927" spans="1:4">
      <c r="A927" t="s">
        <v>31</v>
      </c>
      <c r="B927" t="s">
        <v>236</v>
      </c>
      <c r="C927" s="9">
        <v>46100</v>
      </c>
      <c r="D927" s="10">
        <v>19657</v>
      </c>
    </row>
    <row r="928" spans="1:4">
      <c r="A928" t="s">
        <v>30</v>
      </c>
      <c r="B928" t="s">
        <v>157</v>
      </c>
      <c r="C928" s="9">
        <v>46100</v>
      </c>
      <c r="D928" s="10">
        <v>12415</v>
      </c>
    </row>
    <row r="929" spans="1:4">
      <c r="A929" t="s">
        <v>5</v>
      </c>
      <c r="B929" t="s">
        <v>94</v>
      </c>
      <c r="C929" s="9">
        <v>46100</v>
      </c>
      <c r="D929" s="10">
        <v>35224</v>
      </c>
    </row>
    <row r="930" spans="1:4">
      <c r="A930" t="s">
        <v>5</v>
      </c>
      <c r="B930" t="s">
        <v>142</v>
      </c>
      <c r="C930" s="9">
        <v>46100</v>
      </c>
      <c r="D930" s="10">
        <v>34362</v>
      </c>
    </row>
    <row r="931" spans="1:4">
      <c r="A931" t="s">
        <v>5</v>
      </c>
      <c r="B931" t="s">
        <v>110</v>
      </c>
      <c r="C931" s="9">
        <v>46100</v>
      </c>
      <c r="D931" s="10">
        <v>45381</v>
      </c>
    </row>
    <row r="932" spans="1:4">
      <c r="A932" t="s">
        <v>5</v>
      </c>
      <c r="B932" t="s">
        <v>210</v>
      </c>
      <c r="C932" s="9">
        <v>46100</v>
      </c>
      <c r="D932" s="10">
        <v>31003</v>
      </c>
    </row>
    <row r="933" spans="1:4">
      <c r="A933" t="s">
        <v>4</v>
      </c>
      <c r="B933" t="s">
        <v>277</v>
      </c>
      <c r="C933" s="9">
        <v>46101</v>
      </c>
      <c r="D933" s="10">
        <v>28838</v>
      </c>
    </row>
    <row r="934" spans="1:4">
      <c r="A934" t="s">
        <v>26</v>
      </c>
      <c r="B934" t="s">
        <v>189</v>
      </c>
      <c r="C934" s="9">
        <v>46101</v>
      </c>
      <c r="D934" s="10">
        <v>18730</v>
      </c>
    </row>
    <row r="935" spans="1:4">
      <c r="A935" t="s">
        <v>6</v>
      </c>
      <c r="B935" t="s">
        <v>243</v>
      </c>
      <c r="C935" s="9">
        <v>46101</v>
      </c>
      <c r="D935" s="10">
        <v>22873</v>
      </c>
    </row>
    <row r="936" spans="1:4">
      <c r="A936" t="s">
        <v>9</v>
      </c>
      <c r="B936" t="s">
        <v>291</v>
      </c>
      <c r="C936" s="9">
        <v>46101</v>
      </c>
      <c r="D936" s="10">
        <v>31220</v>
      </c>
    </row>
    <row r="937" spans="1:4">
      <c r="A937" t="s">
        <v>9</v>
      </c>
      <c r="B937" t="s">
        <v>133</v>
      </c>
      <c r="C937" s="9">
        <v>46101</v>
      </c>
      <c r="D937" s="10">
        <v>31889</v>
      </c>
    </row>
    <row r="938" spans="1:4">
      <c r="A938" t="s">
        <v>9</v>
      </c>
      <c r="B938" t="s">
        <v>197</v>
      </c>
      <c r="C938" s="9">
        <v>46101</v>
      </c>
      <c r="D938" s="10">
        <v>35551</v>
      </c>
    </row>
    <row r="939" spans="1:4">
      <c r="A939" t="s">
        <v>5</v>
      </c>
      <c r="B939" t="s">
        <v>93</v>
      </c>
      <c r="C939" s="9">
        <v>46101</v>
      </c>
      <c r="D939" s="10">
        <v>33885</v>
      </c>
    </row>
    <row r="940" spans="1:4">
      <c r="A940" t="s">
        <v>5</v>
      </c>
      <c r="B940" t="s">
        <v>272</v>
      </c>
      <c r="C940" s="9">
        <v>46101</v>
      </c>
      <c r="D940" s="10">
        <v>40444</v>
      </c>
    </row>
    <row r="941" spans="1:4">
      <c r="A941" t="s">
        <v>5</v>
      </c>
      <c r="B941" t="s">
        <v>176</v>
      </c>
      <c r="C941" s="9">
        <v>46101</v>
      </c>
      <c r="D941" s="10">
        <v>37016</v>
      </c>
    </row>
    <row r="942" spans="1:4">
      <c r="A942" t="s">
        <v>27</v>
      </c>
      <c r="B942" t="s">
        <v>144</v>
      </c>
      <c r="C942" s="9">
        <v>46102</v>
      </c>
      <c r="D942" s="10">
        <v>15914</v>
      </c>
    </row>
    <row r="943" spans="1:4">
      <c r="A943" t="s">
        <v>31</v>
      </c>
      <c r="B943" t="s">
        <v>286</v>
      </c>
      <c r="C943" s="9">
        <v>46102</v>
      </c>
      <c r="D943" s="10">
        <v>11822</v>
      </c>
    </row>
    <row r="944" spans="1:4">
      <c r="A944" t="s">
        <v>30</v>
      </c>
      <c r="B944" t="s">
        <v>195</v>
      </c>
      <c r="C944" s="9">
        <v>46102</v>
      </c>
      <c r="D944" s="10">
        <v>13341</v>
      </c>
    </row>
    <row r="945" spans="1:4">
      <c r="A945" t="s">
        <v>33</v>
      </c>
      <c r="B945" t="s">
        <v>99</v>
      </c>
      <c r="C945" s="9">
        <v>46102</v>
      </c>
      <c r="D945" s="10">
        <v>13538</v>
      </c>
    </row>
    <row r="946" spans="1:4">
      <c r="A946" t="s">
        <v>29</v>
      </c>
      <c r="B946" t="s">
        <v>254</v>
      </c>
      <c r="C946" s="9">
        <v>46102</v>
      </c>
      <c r="D946" s="10">
        <v>11727</v>
      </c>
    </row>
    <row r="947" spans="1:4">
      <c r="A947" t="s">
        <v>9</v>
      </c>
      <c r="B947" t="s">
        <v>106</v>
      </c>
      <c r="C947" s="9">
        <v>46102</v>
      </c>
      <c r="D947" s="10">
        <v>31497</v>
      </c>
    </row>
    <row r="948" spans="1:4">
      <c r="A948" t="s">
        <v>9</v>
      </c>
      <c r="B948" t="s">
        <v>64</v>
      </c>
      <c r="C948" s="9">
        <v>46102</v>
      </c>
      <c r="D948" s="10">
        <v>29468</v>
      </c>
    </row>
    <row r="949" spans="1:4">
      <c r="A949" t="s">
        <v>5</v>
      </c>
      <c r="B949" t="s">
        <v>135</v>
      </c>
      <c r="C949" s="9">
        <v>46102</v>
      </c>
      <c r="D949" s="10">
        <v>38821</v>
      </c>
    </row>
    <row r="950" spans="1:4">
      <c r="A950" t="s">
        <v>5</v>
      </c>
      <c r="B950" t="s">
        <v>136</v>
      </c>
      <c r="C950" s="9">
        <v>46102</v>
      </c>
      <c r="D950" s="10">
        <v>31068</v>
      </c>
    </row>
    <row r="951" spans="1:4">
      <c r="A951" t="s">
        <v>5</v>
      </c>
      <c r="B951" t="s">
        <v>177</v>
      </c>
      <c r="C951" s="9">
        <v>46102</v>
      </c>
      <c r="D951" s="10">
        <v>49263</v>
      </c>
    </row>
    <row r="952" spans="1:4">
      <c r="A952" t="s">
        <v>35</v>
      </c>
      <c r="B952" t="s">
        <v>288</v>
      </c>
      <c r="C952" s="9">
        <v>46103</v>
      </c>
      <c r="D952" s="10">
        <v>12802</v>
      </c>
    </row>
    <row r="953" spans="1:4">
      <c r="A953" t="s">
        <v>35</v>
      </c>
      <c r="B953" t="s">
        <v>80</v>
      </c>
      <c r="C953" s="9">
        <v>46103</v>
      </c>
      <c r="D953" s="10">
        <v>7291</v>
      </c>
    </row>
    <row r="954" spans="1:4">
      <c r="A954" t="s">
        <v>4</v>
      </c>
      <c r="B954" t="s">
        <v>94</v>
      </c>
      <c r="C954" s="9">
        <v>46103</v>
      </c>
      <c r="D954" s="10">
        <v>36229</v>
      </c>
    </row>
    <row r="955" spans="1:4">
      <c r="A955" t="s">
        <v>4</v>
      </c>
      <c r="B955" t="s">
        <v>187</v>
      </c>
      <c r="C955" s="9">
        <v>46103</v>
      </c>
      <c r="D955" s="10">
        <v>43547</v>
      </c>
    </row>
    <row r="956" spans="1:4">
      <c r="A956" t="s">
        <v>8</v>
      </c>
      <c r="B956" t="s">
        <v>158</v>
      </c>
      <c r="C956" s="9">
        <v>46103</v>
      </c>
      <c r="D956" s="10">
        <v>20334</v>
      </c>
    </row>
    <row r="957" spans="1:4">
      <c r="A957" t="s">
        <v>6</v>
      </c>
      <c r="B957" t="s">
        <v>228</v>
      </c>
      <c r="C957" s="9">
        <v>46103</v>
      </c>
      <c r="D957" s="10">
        <v>20938</v>
      </c>
    </row>
    <row r="958" spans="1:4">
      <c r="A958" t="s">
        <v>6</v>
      </c>
      <c r="B958" t="s">
        <v>249</v>
      </c>
      <c r="C958" s="9">
        <v>46103</v>
      </c>
      <c r="D958" s="10">
        <v>14851</v>
      </c>
    </row>
    <row r="959" spans="1:4">
      <c r="A959" t="s">
        <v>29</v>
      </c>
      <c r="B959" t="s">
        <v>229</v>
      </c>
      <c r="C959" s="9">
        <v>46103</v>
      </c>
      <c r="D959" s="10">
        <v>5200</v>
      </c>
    </row>
    <row r="960" spans="1:4">
      <c r="A960" t="s">
        <v>7</v>
      </c>
      <c r="B960" t="s">
        <v>266</v>
      </c>
      <c r="C960" s="9">
        <v>46103</v>
      </c>
      <c r="D960" s="10">
        <v>27584</v>
      </c>
    </row>
    <row r="961" spans="1:4">
      <c r="A961" t="s">
        <v>7</v>
      </c>
      <c r="B961" t="s">
        <v>167</v>
      </c>
      <c r="C961" s="9">
        <v>46103</v>
      </c>
      <c r="D961" s="10">
        <v>28181</v>
      </c>
    </row>
    <row r="962" spans="1:4">
      <c r="A962" t="s">
        <v>5</v>
      </c>
      <c r="B962" t="s">
        <v>284</v>
      </c>
      <c r="C962" s="9">
        <v>46103</v>
      </c>
      <c r="D962" s="10">
        <v>47625</v>
      </c>
    </row>
    <row r="963" spans="1:4">
      <c r="A963" t="s">
        <v>4</v>
      </c>
      <c r="B963" t="s">
        <v>193</v>
      </c>
      <c r="C963" s="9">
        <v>46104</v>
      </c>
      <c r="D963" s="10">
        <v>24739</v>
      </c>
    </row>
    <row r="964" spans="1:4">
      <c r="A964" t="s">
        <v>25</v>
      </c>
      <c r="B964" t="s">
        <v>280</v>
      </c>
      <c r="C964" s="9">
        <v>46104</v>
      </c>
      <c r="D964" s="10">
        <v>22314</v>
      </c>
    </row>
    <row r="965" spans="1:4">
      <c r="A965" t="s">
        <v>28</v>
      </c>
      <c r="B965" t="s">
        <v>202</v>
      </c>
      <c r="C965" s="9">
        <v>46104</v>
      </c>
      <c r="D965" s="10">
        <v>14451</v>
      </c>
    </row>
    <row r="966" spans="1:4">
      <c r="A966" t="s">
        <v>30</v>
      </c>
      <c r="B966" t="s">
        <v>261</v>
      </c>
      <c r="C966" s="9">
        <v>46104</v>
      </c>
      <c r="D966" s="10">
        <v>12058</v>
      </c>
    </row>
    <row r="967" spans="1:4">
      <c r="A967" t="s">
        <v>8</v>
      </c>
      <c r="B967" t="s">
        <v>181</v>
      </c>
      <c r="C967" s="9">
        <v>46104</v>
      </c>
      <c r="D967" s="10">
        <v>6590</v>
      </c>
    </row>
    <row r="968" spans="1:4">
      <c r="A968" t="s">
        <v>29</v>
      </c>
      <c r="B968" t="s">
        <v>215</v>
      </c>
      <c r="C968" s="9">
        <v>46104</v>
      </c>
      <c r="D968" s="10">
        <v>17733</v>
      </c>
    </row>
    <row r="969" spans="1:4">
      <c r="A969" t="s">
        <v>9</v>
      </c>
      <c r="B969" t="s">
        <v>199</v>
      </c>
      <c r="C969" s="9">
        <v>46104</v>
      </c>
      <c r="D969" s="10">
        <v>35574</v>
      </c>
    </row>
    <row r="970" spans="1:4">
      <c r="A970" t="s">
        <v>5</v>
      </c>
      <c r="B970" t="s">
        <v>224</v>
      </c>
      <c r="C970" s="9">
        <v>46104</v>
      </c>
      <c r="D970" s="10">
        <v>41034</v>
      </c>
    </row>
    <row r="971" spans="1:4">
      <c r="A971" t="s">
        <v>5</v>
      </c>
      <c r="B971" t="s">
        <v>152</v>
      </c>
      <c r="C971" s="9">
        <v>46104</v>
      </c>
      <c r="D971" s="10">
        <v>28937</v>
      </c>
    </row>
    <row r="972" spans="1:4">
      <c r="A972" t="s">
        <v>5</v>
      </c>
      <c r="B972" t="s">
        <v>136</v>
      </c>
      <c r="C972" s="9">
        <v>46104</v>
      </c>
      <c r="D972" s="10">
        <v>45402</v>
      </c>
    </row>
    <row r="973" spans="1:4">
      <c r="A973" t="s">
        <v>5</v>
      </c>
      <c r="B973" t="s">
        <v>76</v>
      </c>
      <c r="C973" s="9">
        <v>46104</v>
      </c>
      <c r="D973" s="10">
        <v>24473</v>
      </c>
    </row>
    <row r="974" spans="1:4">
      <c r="A974" t="s">
        <v>5</v>
      </c>
      <c r="B974" t="s">
        <v>69</v>
      </c>
      <c r="C974" s="9">
        <v>46104</v>
      </c>
      <c r="D974" s="10">
        <v>42309</v>
      </c>
    </row>
    <row r="975" spans="1:4">
      <c r="A975" t="s">
        <v>5</v>
      </c>
      <c r="B975" t="s">
        <v>70</v>
      </c>
      <c r="C975" s="9">
        <v>46104</v>
      </c>
      <c r="D975" s="10">
        <v>45708</v>
      </c>
    </row>
    <row r="976" spans="1:4">
      <c r="A976" t="s">
        <v>4</v>
      </c>
      <c r="B976" t="s">
        <v>119</v>
      </c>
      <c r="C976" s="9">
        <v>46105</v>
      </c>
      <c r="D976" s="10">
        <v>31178</v>
      </c>
    </row>
    <row r="977" spans="1:4">
      <c r="A977" t="s">
        <v>28</v>
      </c>
      <c r="B977" t="s">
        <v>278</v>
      </c>
      <c r="C977" s="9">
        <v>46105</v>
      </c>
      <c r="D977" s="10">
        <v>11385</v>
      </c>
    </row>
    <row r="978" spans="1:4">
      <c r="A978" t="s">
        <v>9</v>
      </c>
      <c r="B978" t="s">
        <v>63</v>
      </c>
      <c r="C978" s="9">
        <v>46105</v>
      </c>
      <c r="D978" s="10">
        <v>52104</v>
      </c>
    </row>
    <row r="979" spans="1:4">
      <c r="A979" t="s">
        <v>9</v>
      </c>
      <c r="B979" t="s">
        <v>166</v>
      </c>
      <c r="C979" s="9">
        <v>46105</v>
      </c>
      <c r="D979" s="10">
        <v>28960</v>
      </c>
    </row>
    <row r="980" spans="1:4">
      <c r="A980" t="s">
        <v>5</v>
      </c>
      <c r="B980" t="s">
        <v>134</v>
      </c>
      <c r="C980" s="9">
        <v>46105</v>
      </c>
      <c r="D980" s="10">
        <v>39692</v>
      </c>
    </row>
    <row r="981" spans="1:4">
      <c r="A981" t="s">
        <v>5</v>
      </c>
      <c r="B981" t="s">
        <v>107</v>
      </c>
      <c r="C981" s="9">
        <v>46105</v>
      </c>
      <c r="D981" s="10">
        <v>25801</v>
      </c>
    </row>
    <row r="982" spans="1:4">
      <c r="A982" t="s">
        <v>5</v>
      </c>
      <c r="B982" t="s">
        <v>175</v>
      </c>
      <c r="C982" s="9">
        <v>46105</v>
      </c>
      <c r="D982" s="10">
        <v>59867</v>
      </c>
    </row>
    <row r="983" spans="1:4">
      <c r="A983" t="s">
        <v>5</v>
      </c>
      <c r="B983" t="s">
        <v>187</v>
      </c>
      <c r="C983" s="9">
        <v>46105</v>
      </c>
      <c r="D983" s="10">
        <v>50326</v>
      </c>
    </row>
    <row r="984" spans="1:4">
      <c r="A984" t="s">
        <v>5</v>
      </c>
      <c r="B984" t="s">
        <v>230</v>
      </c>
      <c r="C984" s="9">
        <v>46105</v>
      </c>
      <c r="D984" s="10">
        <v>37985</v>
      </c>
    </row>
    <row r="985" spans="1:4">
      <c r="A985" t="s">
        <v>5</v>
      </c>
      <c r="B985" t="s">
        <v>169</v>
      </c>
      <c r="C985" s="9">
        <v>46105</v>
      </c>
      <c r="D985" s="10">
        <v>37788</v>
      </c>
    </row>
    <row r="986" spans="1:4">
      <c r="A986" t="s">
        <v>5</v>
      </c>
      <c r="B986" t="s">
        <v>179</v>
      </c>
      <c r="C986" s="9">
        <v>46105</v>
      </c>
      <c r="D986" s="10">
        <v>37349</v>
      </c>
    </row>
    <row r="987" spans="1:4">
      <c r="A987" t="s">
        <v>5</v>
      </c>
      <c r="B987" t="s">
        <v>71</v>
      </c>
      <c r="C987" s="9">
        <v>46105</v>
      </c>
      <c r="D987" s="10">
        <v>41757</v>
      </c>
    </row>
    <row r="988" spans="1:4">
      <c r="A988" t="s">
        <v>4</v>
      </c>
      <c r="B988" t="s">
        <v>125</v>
      </c>
      <c r="C988" s="9">
        <v>46106</v>
      </c>
      <c r="D988" s="10">
        <v>33245</v>
      </c>
    </row>
    <row r="989" spans="1:4">
      <c r="A989" t="s">
        <v>25</v>
      </c>
      <c r="B989" t="s">
        <v>126</v>
      </c>
      <c r="C989" s="9">
        <v>46106</v>
      </c>
      <c r="D989" s="10">
        <v>20572</v>
      </c>
    </row>
    <row r="990" spans="1:4">
      <c r="A990" t="s">
        <v>25</v>
      </c>
      <c r="B990" t="s">
        <v>171</v>
      </c>
      <c r="C990" s="9">
        <v>46106</v>
      </c>
      <c r="D990" s="10">
        <v>14447</v>
      </c>
    </row>
    <row r="991" spans="1:4">
      <c r="A991" t="s">
        <v>26</v>
      </c>
      <c r="B991" t="s">
        <v>73</v>
      </c>
      <c r="C991" s="9">
        <v>46106</v>
      </c>
      <c r="D991" s="10">
        <v>5200</v>
      </c>
    </row>
    <row r="992" spans="1:4">
      <c r="A992" t="s">
        <v>8</v>
      </c>
      <c r="B992" t="s">
        <v>87</v>
      </c>
      <c r="C992" s="9">
        <v>46106</v>
      </c>
      <c r="D992" s="10">
        <v>5200</v>
      </c>
    </row>
    <row r="993" spans="1:4">
      <c r="A993" t="s">
        <v>33</v>
      </c>
      <c r="B993" t="s">
        <v>98</v>
      </c>
      <c r="C993" s="9">
        <v>46106</v>
      </c>
      <c r="D993" s="10">
        <v>10000</v>
      </c>
    </row>
    <row r="994" spans="1:4">
      <c r="A994" t="s">
        <v>7</v>
      </c>
      <c r="B994" t="s">
        <v>62</v>
      </c>
      <c r="C994" s="9">
        <v>46106</v>
      </c>
      <c r="D994" s="10">
        <v>39328</v>
      </c>
    </row>
    <row r="995" spans="1:4">
      <c r="A995" t="s">
        <v>9</v>
      </c>
      <c r="B995" t="s">
        <v>81</v>
      </c>
      <c r="C995" s="9">
        <v>46106</v>
      </c>
      <c r="D995" s="10">
        <v>27312</v>
      </c>
    </row>
    <row r="996" spans="1:4">
      <c r="A996" t="s">
        <v>5</v>
      </c>
      <c r="B996" t="s">
        <v>66</v>
      </c>
      <c r="C996" s="9">
        <v>46106</v>
      </c>
      <c r="D996" s="10">
        <v>37348</v>
      </c>
    </row>
    <row r="997" spans="1:4">
      <c r="A997" t="s">
        <v>5</v>
      </c>
      <c r="B997" t="s">
        <v>142</v>
      </c>
      <c r="C997" s="9">
        <v>46106</v>
      </c>
      <c r="D997" s="10">
        <v>32507</v>
      </c>
    </row>
    <row r="998" spans="1:4">
      <c r="A998" t="s">
        <v>4</v>
      </c>
      <c r="B998" t="s">
        <v>239</v>
      </c>
      <c r="C998" s="9">
        <v>46107</v>
      </c>
      <c r="D998" s="10">
        <v>7487</v>
      </c>
    </row>
    <row r="999" spans="1:4">
      <c r="A999" t="s">
        <v>4</v>
      </c>
      <c r="B999" t="s">
        <v>265</v>
      </c>
      <c r="C999" s="9">
        <v>46107</v>
      </c>
      <c r="D999" s="10">
        <v>25174</v>
      </c>
    </row>
    <row r="1000" spans="1:4">
      <c r="A1000" t="s">
        <v>4</v>
      </c>
      <c r="B1000" t="s">
        <v>188</v>
      </c>
      <c r="C1000" s="9">
        <v>46107</v>
      </c>
      <c r="D1000" s="10">
        <v>29940</v>
      </c>
    </row>
    <row r="1001" spans="1:4">
      <c r="A1001" t="s">
        <v>8</v>
      </c>
      <c r="B1001" t="s">
        <v>120</v>
      </c>
      <c r="C1001" s="9">
        <v>46107</v>
      </c>
      <c r="D1001" s="10">
        <v>13586</v>
      </c>
    </row>
    <row r="1002" spans="1:4">
      <c r="A1002" t="s">
        <v>32</v>
      </c>
      <c r="B1002" t="s">
        <v>88</v>
      </c>
      <c r="C1002" s="9">
        <v>46107</v>
      </c>
      <c r="D1002" s="10">
        <v>11060</v>
      </c>
    </row>
    <row r="1003" spans="1:4">
      <c r="A1003" t="s">
        <v>7</v>
      </c>
      <c r="B1003" t="s">
        <v>204</v>
      </c>
      <c r="C1003" s="9">
        <v>46107</v>
      </c>
      <c r="D1003" s="10">
        <v>27461</v>
      </c>
    </row>
    <row r="1004" spans="1:4">
      <c r="A1004" t="s">
        <v>5</v>
      </c>
      <c r="B1004" t="s">
        <v>224</v>
      </c>
      <c r="C1004" s="9">
        <v>46107</v>
      </c>
      <c r="D1004" s="10">
        <v>51151</v>
      </c>
    </row>
    <row r="1005" spans="1:4">
      <c r="A1005" t="s">
        <v>5</v>
      </c>
      <c r="B1005" t="s">
        <v>69</v>
      </c>
      <c r="C1005" s="9">
        <v>46107</v>
      </c>
      <c r="D1005" s="10">
        <v>36740</v>
      </c>
    </row>
    <row r="1006" spans="1:4">
      <c r="A1006" t="s">
        <v>5</v>
      </c>
      <c r="B1006" t="s">
        <v>71</v>
      </c>
      <c r="C1006" s="9">
        <v>46107</v>
      </c>
      <c r="D1006" s="10">
        <v>42608</v>
      </c>
    </row>
    <row r="1007" spans="1:4">
      <c r="A1007" t="s">
        <v>4</v>
      </c>
      <c r="B1007" t="s">
        <v>194</v>
      </c>
      <c r="C1007" s="9">
        <v>46108</v>
      </c>
      <c r="D1007" s="10">
        <v>47383</v>
      </c>
    </row>
    <row r="1008" spans="1:4">
      <c r="A1008" t="s">
        <v>25</v>
      </c>
      <c r="B1008" t="s">
        <v>201</v>
      </c>
      <c r="C1008" s="9">
        <v>46108</v>
      </c>
      <c r="D1008" s="10">
        <v>13743</v>
      </c>
    </row>
    <row r="1009" spans="1:4">
      <c r="A1009" t="s">
        <v>32</v>
      </c>
      <c r="B1009" t="s">
        <v>269</v>
      </c>
      <c r="C1009" s="9">
        <v>46108</v>
      </c>
      <c r="D1009" s="10">
        <v>11149</v>
      </c>
    </row>
    <row r="1010" spans="1:4">
      <c r="A1010" t="s">
        <v>6</v>
      </c>
      <c r="B1010" t="s">
        <v>262</v>
      </c>
      <c r="C1010" s="9">
        <v>46108</v>
      </c>
      <c r="D1010" s="10">
        <v>13622</v>
      </c>
    </row>
    <row r="1011" spans="1:4">
      <c r="A1011" t="s">
        <v>7</v>
      </c>
      <c r="B1011" t="s">
        <v>129</v>
      </c>
      <c r="C1011" s="9">
        <v>46108</v>
      </c>
      <c r="D1011" s="10">
        <v>17728</v>
      </c>
    </row>
    <row r="1012" spans="1:4">
      <c r="A1012" t="s">
        <v>9</v>
      </c>
      <c r="B1012" t="s">
        <v>115</v>
      </c>
      <c r="C1012" s="9">
        <v>46108</v>
      </c>
      <c r="D1012" s="10">
        <v>34392</v>
      </c>
    </row>
    <row r="1013" spans="1:4">
      <c r="A1013" t="s">
        <v>9</v>
      </c>
      <c r="B1013" t="s">
        <v>268</v>
      </c>
      <c r="C1013" s="9">
        <v>46108</v>
      </c>
      <c r="D1013" s="10">
        <v>43810</v>
      </c>
    </row>
    <row r="1014" spans="1:4">
      <c r="A1014" t="s">
        <v>9</v>
      </c>
      <c r="B1014" t="s">
        <v>186</v>
      </c>
      <c r="C1014" s="9">
        <v>46108</v>
      </c>
      <c r="D1014" s="10">
        <v>33398</v>
      </c>
    </row>
    <row r="1015" spans="1:4">
      <c r="A1015" t="s">
        <v>5</v>
      </c>
      <c r="B1015" t="s">
        <v>116</v>
      </c>
      <c r="C1015" s="9">
        <v>46108</v>
      </c>
      <c r="D1015" s="10">
        <v>44116</v>
      </c>
    </row>
    <row r="1016" spans="1:4">
      <c r="A1016" t="s">
        <v>5</v>
      </c>
      <c r="B1016" t="s">
        <v>136</v>
      </c>
      <c r="C1016" s="9">
        <v>46108</v>
      </c>
      <c r="D1016" s="10">
        <v>40008</v>
      </c>
    </row>
    <row r="1017" spans="1:4">
      <c r="A1017" t="s">
        <v>5</v>
      </c>
      <c r="B1017" t="s">
        <v>118</v>
      </c>
      <c r="C1017" s="9">
        <v>46108</v>
      </c>
      <c r="D1017" s="10">
        <v>44823</v>
      </c>
    </row>
    <row r="1018" spans="1:4">
      <c r="A1018" t="s">
        <v>5</v>
      </c>
      <c r="B1018" t="s">
        <v>210</v>
      </c>
      <c r="C1018" s="9">
        <v>46108</v>
      </c>
      <c r="D1018" s="10">
        <v>46706</v>
      </c>
    </row>
    <row r="1019" spans="1:4">
      <c r="A1019" t="s">
        <v>4</v>
      </c>
      <c r="B1019" t="s">
        <v>104</v>
      </c>
      <c r="C1019" s="9">
        <v>46109</v>
      </c>
      <c r="D1019" s="10">
        <v>24704</v>
      </c>
    </row>
    <row r="1020" spans="1:4">
      <c r="A1020" t="s">
        <v>4</v>
      </c>
      <c r="B1020" t="s">
        <v>235</v>
      </c>
      <c r="C1020" s="9">
        <v>46109</v>
      </c>
      <c r="D1020" s="10">
        <v>27676</v>
      </c>
    </row>
    <row r="1021" spans="1:4">
      <c r="A1021" t="s">
        <v>6</v>
      </c>
      <c r="B1021" t="s">
        <v>208</v>
      </c>
      <c r="C1021" s="9">
        <v>46109</v>
      </c>
      <c r="D1021" s="10">
        <v>22495</v>
      </c>
    </row>
    <row r="1022" spans="1:4">
      <c r="A1022" t="s">
        <v>7</v>
      </c>
      <c r="B1022" t="s">
        <v>290</v>
      </c>
      <c r="C1022" s="9">
        <v>46109</v>
      </c>
      <c r="D1022" s="10">
        <v>31088</v>
      </c>
    </row>
    <row r="1023" spans="1:4">
      <c r="A1023" t="s">
        <v>5</v>
      </c>
      <c r="B1023" t="s">
        <v>121</v>
      </c>
      <c r="C1023" s="9">
        <v>46109</v>
      </c>
      <c r="D1023" s="10">
        <v>39045</v>
      </c>
    </row>
    <row r="1024" spans="1:4">
      <c r="A1024" t="s">
        <v>5</v>
      </c>
      <c r="B1024" t="s">
        <v>117</v>
      </c>
      <c r="C1024" s="9">
        <v>46109</v>
      </c>
      <c r="D1024" s="10">
        <v>37807</v>
      </c>
    </row>
    <row r="1025" spans="1:4">
      <c r="A1025" t="s">
        <v>5</v>
      </c>
      <c r="B1025" t="s">
        <v>199</v>
      </c>
      <c r="C1025" s="9">
        <v>46109</v>
      </c>
      <c r="D1025" s="10">
        <v>39658</v>
      </c>
    </row>
    <row r="1026" spans="1:4">
      <c r="A1026" t="s">
        <v>5</v>
      </c>
      <c r="B1026" t="s">
        <v>122</v>
      </c>
      <c r="C1026" s="9">
        <v>46109</v>
      </c>
      <c r="D1026" s="10">
        <v>52151</v>
      </c>
    </row>
    <row r="1027" spans="1:4">
      <c r="A1027" t="s">
        <v>5</v>
      </c>
      <c r="B1027" t="s">
        <v>79</v>
      </c>
      <c r="C1027" s="9">
        <v>46109</v>
      </c>
      <c r="D1027" s="10">
        <v>37034</v>
      </c>
    </row>
    <row r="1028" spans="1:4">
      <c r="A1028" t="s">
        <v>26</v>
      </c>
      <c r="B1028" t="s">
        <v>226</v>
      </c>
      <c r="C1028" s="9">
        <v>46110</v>
      </c>
      <c r="D1028" s="10">
        <v>12694</v>
      </c>
    </row>
    <row r="1029" spans="1:4">
      <c r="A1029" t="s">
        <v>8</v>
      </c>
      <c r="B1029" t="s">
        <v>257</v>
      </c>
      <c r="C1029" s="9">
        <v>46110</v>
      </c>
      <c r="D1029" s="10">
        <v>15114</v>
      </c>
    </row>
    <row r="1030" spans="1:4">
      <c r="A1030" t="s">
        <v>8</v>
      </c>
      <c r="B1030" t="s">
        <v>203</v>
      </c>
      <c r="C1030" s="9">
        <v>46110</v>
      </c>
      <c r="D1030" s="10">
        <v>16318</v>
      </c>
    </row>
    <row r="1031" spans="1:4">
      <c r="A1031" t="s">
        <v>6</v>
      </c>
      <c r="B1031" t="s">
        <v>130</v>
      </c>
      <c r="C1031" s="9">
        <v>46110</v>
      </c>
      <c r="D1031" s="10">
        <v>17512</v>
      </c>
    </row>
    <row r="1032" spans="1:4">
      <c r="A1032" t="s">
        <v>9</v>
      </c>
      <c r="B1032" t="s">
        <v>205</v>
      </c>
      <c r="C1032" s="9">
        <v>46110</v>
      </c>
      <c r="D1032" s="10">
        <v>37938</v>
      </c>
    </row>
    <row r="1033" spans="1:4">
      <c r="A1033" t="s">
        <v>9</v>
      </c>
      <c r="B1033" t="s">
        <v>292</v>
      </c>
      <c r="C1033" s="9">
        <v>46110</v>
      </c>
      <c r="D1033" s="10">
        <v>43167</v>
      </c>
    </row>
    <row r="1034" spans="1:4">
      <c r="A1034" t="s">
        <v>5</v>
      </c>
      <c r="B1034" t="s">
        <v>117</v>
      </c>
      <c r="C1034" s="9">
        <v>46110</v>
      </c>
      <c r="D1034" s="10">
        <v>37316</v>
      </c>
    </row>
    <row r="1035" spans="1:4">
      <c r="A1035" t="s">
        <v>7</v>
      </c>
      <c r="B1035" t="s">
        <v>100</v>
      </c>
      <c r="C1035" s="9">
        <v>46111</v>
      </c>
      <c r="D1035" s="10">
        <v>33789</v>
      </c>
    </row>
    <row r="1036" spans="1:4">
      <c r="A1036" t="s">
        <v>9</v>
      </c>
      <c r="B1036" t="s">
        <v>222</v>
      </c>
      <c r="C1036" s="9">
        <v>46111</v>
      </c>
      <c r="D1036" s="10">
        <v>24919</v>
      </c>
    </row>
    <row r="1037" spans="1:4">
      <c r="A1037" t="s">
        <v>9</v>
      </c>
      <c r="B1037" t="s">
        <v>192</v>
      </c>
      <c r="C1037" s="9">
        <v>46111</v>
      </c>
      <c r="D1037" s="10">
        <v>41724</v>
      </c>
    </row>
    <row r="1038" spans="1:4">
      <c r="A1038" t="s">
        <v>9</v>
      </c>
      <c r="B1038" t="s">
        <v>133</v>
      </c>
      <c r="C1038" s="9">
        <v>46111</v>
      </c>
      <c r="D1038" s="10">
        <v>39305</v>
      </c>
    </row>
    <row r="1039" spans="1:4">
      <c r="A1039" t="s">
        <v>5</v>
      </c>
      <c r="B1039" t="s">
        <v>116</v>
      </c>
      <c r="C1039" s="9">
        <v>46111</v>
      </c>
      <c r="D1039" s="10">
        <v>44061</v>
      </c>
    </row>
    <row r="1040" spans="1:4">
      <c r="A1040" t="s">
        <v>5</v>
      </c>
      <c r="B1040" t="s">
        <v>141</v>
      </c>
      <c r="C1040" s="9">
        <v>46111</v>
      </c>
      <c r="D1040" s="10">
        <v>40551</v>
      </c>
    </row>
    <row r="1041" spans="1:4">
      <c r="A1041" t="s">
        <v>5</v>
      </c>
      <c r="B1041" t="s">
        <v>109</v>
      </c>
      <c r="C1041" s="9">
        <v>46111</v>
      </c>
      <c r="D1041" s="10">
        <v>46375</v>
      </c>
    </row>
    <row r="1042" spans="1:4">
      <c r="A1042" t="s">
        <v>5</v>
      </c>
      <c r="B1042" t="s">
        <v>169</v>
      </c>
      <c r="C1042" s="9">
        <v>46111</v>
      </c>
      <c r="D1042" s="10">
        <v>41344</v>
      </c>
    </row>
    <row r="1043" spans="1:4">
      <c r="A1043" t="s">
        <v>5</v>
      </c>
      <c r="B1043" t="s">
        <v>210</v>
      </c>
      <c r="C1043" s="9">
        <v>46111</v>
      </c>
      <c r="D1043" s="10">
        <v>47154</v>
      </c>
    </row>
    <row r="1044" spans="1:4">
      <c r="A1044" t="s">
        <v>5</v>
      </c>
      <c r="B1044" t="s">
        <v>210</v>
      </c>
      <c r="C1044" s="9">
        <v>46111</v>
      </c>
      <c r="D1044" s="10">
        <v>42708</v>
      </c>
    </row>
    <row r="1045" spans="1:4">
      <c r="A1045" t="s">
        <v>5</v>
      </c>
      <c r="B1045" t="s">
        <v>71</v>
      </c>
      <c r="C1045" s="9">
        <v>46111</v>
      </c>
      <c r="D1045" s="10">
        <v>40078</v>
      </c>
    </row>
    <row r="1046" spans="1:4">
      <c r="A1046" t="s">
        <v>27</v>
      </c>
      <c r="B1046" t="s">
        <v>185</v>
      </c>
      <c r="C1046" s="9">
        <v>46112</v>
      </c>
      <c r="D1046" s="10">
        <v>13208</v>
      </c>
    </row>
    <row r="1047" spans="1:4">
      <c r="A1047" t="s">
        <v>4</v>
      </c>
      <c r="B1047" t="s">
        <v>172</v>
      </c>
      <c r="C1047" s="9">
        <v>46112</v>
      </c>
      <c r="D1047" s="10">
        <v>19111</v>
      </c>
    </row>
    <row r="1048" spans="1:4">
      <c r="A1048" t="s">
        <v>28</v>
      </c>
      <c r="B1048" t="s">
        <v>127</v>
      </c>
      <c r="C1048" s="9">
        <v>46112</v>
      </c>
      <c r="D1048" s="10">
        <v>10972</v>
      </c>
    </row>
    <row r="1049" spans="1:4">
      <c r="A1049" t="s">
        <v>8</v>
      </c>
      <c r="B1049" t="s">
        <v>274</v>
      </c>
      <c r="C1049" s="9">
        <v>46112</v>
      </c>
      <c r="D1049" s="10">
        <v>18633</v>
      </c>
    </row>
    <row r="1050" spans="1:4">
      <c r="A1050" t="s">
        <v>8</v>
      </c>
      <c r="B1050" t="s">
        <v>248</v>
      </c>
      <c r="C1050" s="9">
        <v>46112</v>
      </c>
      <c r="D1050" s="10">
        <v>18126</v>
      </c>
    </row>
    <row r="1051" spans="1:4">
      <c r="A1051" t="s">
        <v>6</v>
      </c>
      <c r="B1051" t="s">
        <v>160</v>
      </c>
      <c r="C1051" s="9">
        <v>46112</v>
      </c>
      <c r="D1051" s="10">
        <v>18144</v>
      </c>
    </row>
    <row r="1052" spans="1:4">
      <c r="A1052" t="s">
        <v>7</v>
      </c>
      <c r="B1052" t="s">
        <v>220</v>
      </c>
      <c r="C1052" s="9">
        <v>46112</v>
      </c>
      <c r="D1052" s="10">
        <v>26893</v>
      </c>
    </row>
    <row r="1053" spans="1:4">
      <c r="A1053" t="s">
        <v>5</v>
      </c>
      <c r="B1053" t="s">
        <v>95</v>
      </c>
      <c r="C1053" s="9">
        <v>46112</v>
      </c>
      <c r="D1053" s="10">
        <v>41505</v>
      </c>
    </row>
    <row r="1054" spans="1:4">
      <c r="A1054" t="s">
        <v>5</v>
      </c>
      <c r="B1054" t="s">
        <v>198</v>
      </c>
      <c r="C1054" s="9">
        <v>46112</v>
      </c>
      <c r="D1054" s="10">
        <v>50694</v>
      </c>
    </row>
    <row r="1055" spans="1:4">
      <c r="A1055" t="s">
        <v>5</v>
      </c>
      <c r="B1055" t="s">
        <v>179</v>
      </c>
      <c r="C1055" s="9">
        <v>46112</v>
      </c>
      <c r="D1055" s="10">
        <v>48025</v>
      </c>
    </row>
    <row r="1056" spans="1:4">
      <c r="A1056" t="s">
        <v>4</v>
      </c>
      <c r="B1056" t="s">
        <v>213</v>
      </c>
      <c r="C1056" s="9">
        <v>46113</v>
      </c>
      <c r="D1056" s="10">
        <v>38341</v>
      </c>
    </row>
    <row r="1057" spans="1:4">
      <c r="A1057" t="s">
        <v>7</v>
      </c>
      <c r="B1057" t="s">
        <v>204</v>
      </c>
      <c r="C1057" s="9">
        <v>46113</v>
      </c>
      <c r="D1057" s="10">
        <v>19949</v>
      </c>
    </row>
    <row r="1058" spans="1:4">
      <c r="A1058" t="s">
        <v>9</v>
      </c>
      <c r="B1058" t="s">
        <v>63</v>
      </c>
      <c r="C1058" s="9">
        <v>46113</v>
      </c>
      <c r="D1058" s="10">
        <v>29646</v>
      </c>
    </row>
    <row r="1059" spans="1:4">
      <c r="A1059" t="s">
        <v>9</v>
      </c>
      <c r="B1059" t="s">
        <v>291</v>
      </c>
      <c r="C1059" s="9">
        <v>46113</v>
      </c>
      <c r="D1059" s="10">
        <v>42135</v>
      </c>
    </row>
    <row r="1060" spans="1:4">
      <c r="A1060" t="s">
        <v>5</v>
      </c>
      <c r="B1060" t="s">
        <v>141</v>
      </c>
      <c r="C1060" s="9">
        <v>46113</v>
      </c>
      <c r="D1060" s="10">
        <v>22800</v>
      </c>
    </row>
    <row r="1061" spans="1:4">
      <c r="A1061" t="s">
        <v>5</v>
      </c>
      <c r="B1061" t="s">
        <v>77</v>
      </c>
      <c r="C1061" s="9">
        <v>46113</v>
      </c>
      <c r="D1061" s="10">
        <v>41399</v>
      </c>
    </row>
    <row r="1062" spans="1:4">
      <c r="A1062" t="s">
        <v>5</v>
      </c>
      <c r="B1062" t="s">
        <v>272</v>
      </c>
      <c r="C1062" s="9">
        <v>46113</v>
      </c>
      <c r="D1062" s="10">
        <v>45216</v>
      </c>
    </row>
    <row r="1063" spans="1:4">
      <c r="A1063" t="s">
        <v>8</v>
      </c>
      <c r="B1063" t="s">
        <v>248</v>
      </c>
      <c r="C1063" s="9">
        <v>46114</v>
      </c>
      <c r="D1063" s="10">
        <v>19892</v>
      </c>
    </row>
    <row r="1064" spans="1:4">
      <c r="A1064" t="s">
        <v>6</v>
      </c>
      <c r="B1064" t="s">
        <v>218</v>
      </c>
      <c r="C1064" s="9">
        <v>46114</v>
      </c>
      <c r="D1064" s="10">
        <v>25223</v>
      </c>
    </row>
    <row r="1065" spans="1:4">
      <c r="A1065" t="s">
        <v>7</v>
      </c>
      <c r="B1065" t="s">
        <v>64</v>
      </c>
      <c r="C1065" s="9">
        <v>46114</v>
      </c>
      <c r="D1065" s="10">
        <v>47771</v>
      </c>
    </row>
    <row r="1066" spans="1:4">
      <c r="A1066" t="s">
        <v>9</v>
      </c>
      <c r="B1066" t="s">
        <v>222</v>
      </c>
      <c r="C1066" s="9">
        <v>46114</v>
      </c>
      <c r="D1066" s="10">
        <v>36883</v>
      </c>
    </row>
    <row r="1067" spans="1:4">
      <c r="A1067" t="s">
        <v>9</v>
      </c>
      <c r="B1067" t="s">
        <v>186</v>
      </c>
      <c r="C1067" s="9">
        <v>46114</v>
      </c>
      <c r="D1067" s="10">
        <v>31783</v>
      </c>
    </row>
    <row r="1068" spans="1:4">
      <c r="A1068" t="s">
        <v>5</v>
      </c>
      <c r="B1068" t="s">
        <v>284</v>
      </c>
      <c r="C1068" s="9">
        <v>46114</v>
      </c>
      <c r="D1068" s="10">
        <v>39726</v>
      </c>
    </row>
    <row r="1069" spans="1:4">
      <c r="A1069" t="s">
        <v>5</v>
      </c>
      <c r="B1069" t="s">
        <v>272</v>
      </c>
      <c r="C1069" s="9">
        <v>46114</v>
      </c>
      <c r="D1069" s="10">
        <v>28771</v>
      </c>
    </row>
    <row r="1070" spans="1:4">
      <c r="A1070" t="s">
        <v>5</v>
      </c>
      <c r="B1070" t="s">
        <v>272</v>
      </c>
      <c r="C1070" s="9">
        <v>46114</v>
      </c>
      <c r="D1070" s="10">
        <v>30960</v>
      </c>
    </row>
    <row r="1071" spans="1:4">
      <c r="A1071" t="s">
        <v>5</v>
      </c>
      <c r="B1071" t="s">
        <v>142</v>
      </c>
      <c r="C1071" s="9">
        <v>46114</v>
      </c>
      <c r="D1071" s="10">
        <v>30245</v>
      </c>
    </row>
    <row r="1072" spans="1:4">
      <c r="A1072" t="s">
        <v>5</v>
      </c>
      <c r="B1072" t="s">
        <v>198</v>
      </c>
      <c r="C1072" s="9">
        <v>46114</v>
      </c>
      <c r="D1072" s="10">
        <v>36685</v>
      </c>
    </row>
    <row r="1073" spans="1:4">
      <c r="A1073" t="s">
        <v>5</v>
      </c>
      <c r="B1073" t="s">
        <v>210</v>
      </c>
      <c r="C1073" s="9">
        <v>46114</v>
      </c>
      <c r="D1073" s="10">
        <v>47409</v>
      </c>
    </row>
    <row r="1074" spans="1:4">
      <c r="A1074" t="s">
        <v>26</v>
      </c>
      <c r="B1074" t="s">
        <v>84</v>
      </c>
      <c r="C1074" s="9">
        <v>46115</v>
      </c>
      <c r="D1074" s="10">
        <v>14134</v>
      </c>
    </row>
    <row r="1075" spans="1:4">
      <c r="A1075" t="s">
        <v>8</v>
      </c>
      <c r="B1075" t="s">
        <v>112</v>
      </c>
      <c r="C1075" s="9">
        <v>46115</v>
      </c>
      <c r="D1075" s="10">
        <v>5881</v>
      </c>
    </row>
    <row r="1076" spans="1:4">
      <c r="A1076" t="s">
        <v>9</v>
      </c>
      <c r="B1076" t="s">
        <v>81</v>
      </c>
      <c r="C1076" s="9">
        <v>46115</v>
      </c>
      <c r="D1076" s="10">
        <v>26569</v>
      </c>
    </row>
    <row r="1077" spans="1:4">
      <c r="A1077" t="s">
        <v>5</v>
      </c>
      <c r="B1077" t="s">
        <v>134</v>
      </c>
      <c r="C1077" s="9">
        <v>46115</v>
      </c>
      <c r="D1077" s="10">
        <v>30494</v>
      </c>
    </row>
    <row r="1078" spans="1:4">
      <c r="A1078" t="s">
        <v>5</v>
      </c>
      <c r="B1078" t="s">
        <v>135</v>
      </c>
      <c r="C1078" s="9">
        <v>46115</v>
      </c>
      <c r="D1078" s="10">
        <v>34485</v>
      </c>
    </row>
    <row r="1079" spans="1:4">
      <c r="A1079" t="s">
        <v>5</v>
      </c>
      <c r="B1079" t="s">
        <v>187</v>
      </c>
      <c r="C1079" s="9">
        <v>46115</v>
      </c>
      <c r="D1079" s="10">
        <v>48724</v>
      </c>
    </row>
    <row r="1080" spans="1:4">
      <c r="A1080" t="s">
        <v>5</v>
      </c>
      <c r="B1080" t="s">
        <v>272</v>
      </c>
      <c r="C1080" s="9">
        <v>46115</v>
      </c>
      <c r="D1080" s="10">
        <v>35818</v>
      </c>
    </row>
    <row r="1081" spans="1:4">
      <c r="A1081" t="s">
        <v>5</v>
      </c>
      <c r="B1081" t="s">
        <v>230</v>
      </c>
      <c r="C1081" s="9">
        <v>46115</v>
      </c>
      <c r="D1081" s="10">
        <v>39276</v>
      </c>
    </row>
    <row r="1082" spans="1:4">
      <c r="A1082" t="s">
        <v>5</v>
      </c>
      <c r="B1082" t="s">
        <v>199</v>
      </c>
      <c r="C1082" s="9">
        <v>46115</v>
      </c>
      <c r="D1082" s="10">
        <v>41605</v>
      </c>
    </row>
    <row r="1083" spans="1:4">
      <c r="A1083" t="s">
        <v>5</v>
      </c>
      <c r="B1083" t="s">
        <v>110</v>
      </c>
      <c r="C1083" s="9">
        <v>46115</v>
      </c>
      <c r="D1083" s="10">
        <v>47445</v>
      </c>
    </row>
    <row r="1084" spans="1:4">
      <c r="A1084" t="s">
        <v>5</v>
      </c>
      <c r="B1084" t="s">
        <v>69</v>
      </c>
      <c r="C1084" s="9">
        <v>46115</v>
      </c>
      <c r="D1084" s="10">
        <v>38930</v>
      </c>
    </row>
    <row r="1085" spans="1:4">
      <c r="A1085" t="s">
        <v>4</v>
      </c>
      <c r="B1085" t="s">
        <v>188</v>
      </c>
      <c r="C1085" s="9">
        <v>46116</v>
      </c>
      <c r="D1085" s="10">
        <v>27044</v>
      </c>
    </row>
    <row r="1086" spans="1:4">
      <c r="A1086" t="s">
        <v>25</v>
      </c>
      <c r="B1086" t="s">
        <v>273</v>
      </c>
      <c r="C1086" s="9">
        <v>46116</v>
      </c>
      <c r="D1086" s="10">
        <v>17671</v>
      </c>
    </row>
    <row r="1087" spans="1:4">
      <c r="A1087" t="s">
        <v>28</v>
      </c>
      <c r="B1087" t="s">
        <v>278</v>
      </c>
      <c r="C1087" s="9">
        <v>46116</v>
      </c>
      <c r="D1087" s="10">
        <v>5200</v>
      </c>
    </row>
    <row r="1088" spans="1:4">
      <c r="A1088" t="s">
        <v>26</v>
      </c>
      <c r="B1088" t="s">
        <v>217</v>
      </c>
      <c r="C1088" s="9">
        <v>46116</v>
      </c>
      <c r="D1088" s="10">
        <v>18176</v>
      </c>
    </row>
    <row r="1089" spans="1:4">
      <c r="A1089" t="s">
        <v>30</v>
      </c>
      <c r="B1089" t="s">
        <v>138</v>
      </c>
      <c r="C1089" s="9">
        <v>46116</v>
      </c>
      <c r="D1089" s="10">
        <v>14016</v>
      </c>
    </row>
    <row r="1090" spans="1:4">
      <c r="A1090" t="s">
        <v>30</v>
      </c>
      <c r="B1090" t="s">
        <v>157</v>
      </c>
      <c r="C1090" s="9">
        <v>46116</v>
      </c>
      <c r="D1090" s="10">
        <v>12185</v>
      </c>
    </row>
    <row r="1091" spans="1:4">
      <c r="A1091" t="s">
        <v>6</v>
      </c>
      <c r="B1091" t="s">
        <v>270</v>
      </c>
      <c r="C1091" s="9">
        <v>46116</v>
      </c>
      <c r="D1091" s="10">
        <v>33510</v>
      </c>
    </row>
    <row r="1092" spans="1:4">
      <c r="A1092" t="s">
        <v>33</v>
      </c>
      <c r="B1092" t="s">
        <v>83</v>
      </c>
      <c r="C1092" s="9">
        <v>46116</v>
      </c>
      <c r="D1092" s="10">
        <v>25234</v>
      </c>
    </row>
    <row r="1093" spans="1:4">
      <c r="A1093" t="s">
        <v>9</v>
      </c>
      <c r="B1093" t="s">
        <v>276</v>
      </c>
      <c r="C1093" s="9">
        <v>46116</v>
      </c>
      <c r="D1093" s="10">
        <v>32914</v>
      </c>
    </row>
    <row r="1094" spans="1:4">
      <c r="A1094" t="s">
        <v>9</v>
      </c>
      <c r="B1094" t="s">
        <v>106</v>
      </c>
      <c r="C1094" s="9">
        <v>46116</v>
      </c>
      <c r="D1094" s="10">
        <v>31088</v>
      </c>
    </row>
    <row r="1095" spans="1:4">
      <c r="A1095" t="s">
        <v>5</v>
      </c>
      <c r="B1095" t="s">
        <v>168</v>
      </c>
      <c r="C1095" s="9">
        <v>46116</v>
      </c>
      <c r="D1095" s="10">
        <v>34259</v>
      </c>
    </row>
    <row r="1096" spans="1:4">
      <c r="A1096" t="s">
        <v>5</v>
      </c>
      <c r="B1096" t="s">
        <v>178</v>
      </c>
      <c r="C1096" s="9">
        <v>46116</v>
      </c>
      <c r="D1096" s="10">
        <v>50679</v>
      </c>
    </row>
    <row r="1097" spans="1:4">
      <c r="A1097" t="s">
        <v>4</v>
      </c>
      <c r="B1097" t="s">
        <v>231</v>
      </c>
      <c r="C1097" s="9">
        <v>46117</v>
      </c>
      <c r="D1097" s="10">
        <v>30182</v>
      </c>
    </row>
    <row r="1098" spans="1:4">
      <c r="A1098" t="s">
        <v>4</v>
      </c>
      <c r="B1098" t="s">
        <v>194</v>
      </c>
      <c r="C1098" s="9">
        <v>46117</v>
      </c>
      <c r="D1098" s="10">
        <v>36645</v>
      </c>
    </row>
    <row r="1099" spans="1:4">
      <c r="A1099" t="s">
        <v>6</v>
      </c>
      <c r="B1099" t="s">
        <v>105</v>
      </c>
      <c r="C1099" s="9">
        <v>46117</v>
      </c>
      <c r="D1099" s="10">
        <v>5200</v>
      </c>
    </row>
    <row r="1100" spans="1:4">
      <c r="A1100" t="s">
        <v>6</v>
      </c>
      <c r="B1100" t="s">
        <v>74</v>
      </c>
      <c r="C1100" s="9">
        <v>46117</v>
      </c>
      <c r="D1100" s="10">
        <v>19898</v>
      </c>
    </row>
    <row r="1101" spans="1:4">
      <c r="A1101" t="s">
        <v>7</v>
      </c>
      <c r="B1101" t="s">
        <v>264</v>
      </c>
      <c r="C1101" s="9">
        <v>46117</v>
      </c>
      <c r="D1101" s="10">
        <v>17258</v>
      </c>
    </row>
    <row r="1102" spans="1:4">
      <c r="A1102" t="s">
        <v>7</v>
      </c>
      <c r="B1102" t="s">
        <v>227</v>
      </c>
      <c r="C1102" s="9">
        <v>46117</v>
      </c>
      <c r="D1102" s="10">
        <v>31323</v>
      </c>
    </row>
    <row r="1103" spans="1:4">
      <c r="A1103" t="s">
        <v>7</v>
      </c>
      <c r="B1103" t="s">
        <v>62</v>
      </c>
      <c r="C1103" s="9">
        <v>46117</v>
      </c>
      <c r="D1103" s="10">
        <v>40861</v>
      </c>
    </row>
    <row r="1104" spans="1:4">
      <c r="A1104" t="s">
        <v>9</v>
      </c>
      <c r="B1104" t="s">
        <v>102</v>
      </c>
      <c r="C1104" s="9">
        <v>46117</v>
      </c>
      <c r="D1104" s="10">
        <v>26930</v>
      </c>
    </row>
    <row r="1105" spans="1:4">
      <c r="A1105" t="s">
        <v>5</v>
      </c>
      <c r="B1105" t="s">
        <v>211</v>
      </c>
      <c r="C1105" s="9">
        <v>46117</v>
      </c>
      <c r="D1105" s="10">
        <v>39666</v>
      </c>
    </row>
    <row r="1106" spans="1:4">
      <c r="A1106" t="s">
        <v>5</v>
      </c>
      <c r="B1106" t="s">
        <v>109</v>
      </c>
      <c r="C1106" s="9">
        <v>46117</v>
      </c>
      <c r="D1106" s="10">
        <v>52805</v>
      </c>
    </row>
    <row r="1107" spans="1:4">
      <c r="A1107" t="s">
        <v>5</v>
      </c>
      <c r="B1107" t="s">
        <v>198</v>
      </c>
      <c r="C1107" s="9">
        <v>46117</v>
      </c>
      <c r="D1107" s="10">
        <v>37986</v>
      </c>
    </row>
    <row r="1108" spans="1:4">
      <c r="A1108" t="s">
        <v>4</v>
      </c>
      <c r="B1108" t="s">
        <v>104</v>
      </c>
      <c r="C1108" s="9">
        <v>46118</v>
      </c>
      <c r="D1108" s="10">
        <v>12712</v>
      </c>
    </row>
    <row r="1109" spans="1:4">
      <c r="A1109" t="s">
        <v>4</v>
      </c>
      <c r="B1109" t="s">
        <v>137</v>
      </c>
      <c r="C1109" s="9">
        <v>46118</v>
      </c>
      <c r="D1109" s="10">
        <v>42551</v>
      </c>
    </row>
    <row r="1110" spans="1:4">
      <c r="A1110" t="s">
        <v>4</v>
      </c>
      <c r="B1110" t="s">
        <v>123</v>
      </c>
      <c r="C1110" s="9">
        <v>46118</v>
      </c>
      <c r="D1110" s="10">
        <v>21498</v>
      </c>
    </row>
    <row r="1111" spans="1:4">
      <c r="A1111" t="s">
        <v>25</v>
      </c>
      <c r="B1111" t="s">
        <v>180</v>
      </c>
      <c r="C1111" s="9">
        <v>46118</v>
      </c>
      <c r="D1111" s="10">
        <v>14683</v>
      </c>
    </row>
    <row r="1112" spans="1:4">
      <c r="A1112" t="s">
        <v>26</v>
      </c>
      <c r="B1112" t="s">
        <v>149</v>
      </c>
      <c r="C1112" s="9">
        <v>46118</v>
      </c>
      <c r="D1112" s="10">
        <v>15011</v>
      </c>
    </row>
    <row r="1113" spans="1:4">
      <c r="A1113" t="s">
        <v>26</v>
      </c>
      <c r="B1113" t="s">
        <v>216</v>
      </c>
      <c r="C1113" s="9">
        <v>46118</v>
      </c>
      <c r="D1113" s="10">
        <v>14983</v>
      </c>
    </row>
    <row r="1114" spans="1:4">
      <c r="A1114" t="s">
        <v>30</v>
      </c>
      <c r="B1114" t="s">
        <v>60</v>
      </c>
      <c r="C1114" s="9">
        <v>46118</v>
      </c>
      <c r="D1114" s="10">
        <v>14661</v>
      </c>
    </row>
    <row r="1115" spans="1:4">
      <c r="A1115" t="s">
        <v>8</v>
      </c>
      <c r="B1115" t="s">
        <v>182</v>
      </c>
      <c r="C1115" s="9">
        <v>46118</v>
      </c>
      <c r="D1115" s="10">
        <v>5774</v>
      </c>
    </row>
    <row r="1116" spans="1:4">
      <c r="A1116" t="s">
        <v>34</v>
      </c>
      <c r="B1116" t="s">
        <v>140</v>
      </c>
      <c r="C1116" s="9">
        <v>46118</v>
      </c>
      <c r="D1116" s="10">
        <v>12338</v>
      </c>
    </row>
    <row r="1117" spans="1:4">
      <c r="A1117" t="s">
        <v>5</v>
      </c>
      <c r="B1117" t="s">
        <v>175</v>
      </c>
      <c r="C1117" s="9">
        <v>46118</v>
      </c>
      <c r="D1117" s="10">
        <v>54757</v>
      </c>
    </row>
    <row r="1118" spans="1:4">
      <c r="A1118" t="s">
        <v>4</v>
      </c>
      <c r="B1118" t="s">
        <v>111</v>
      </c>
      <c r="C1118" s="9">
        <v>46119</v>
      </c>
      <c r="D1118" s="10">
        <v>27306</v>
      </c>
    </row>
    <row r="1119" spans="1:4">
      <c r="A1119" t="s">
        <v>32</v>
      </c>
      <c r="B1119" t="s">
        <v>269</v>
      </c>
      <c r="C1119" s="9">
        <v>46119</v>
      </c>
      <c r="D1119" s="10">
        <v>11337</v>
      </c>
    </row>
    <row r="1120" spans="1:4">
      <c r="A1120" t="s">
        <v>29</v>
      </c>
      <c r="B1120" t="s">
        <v>114</v>
      </c>
      <c r="C1120" s="9">
        <v>46119</v>
      </c>
      <c r="D1120" s="10">
        <v>20503</v>
      </c>
    </row>
    <row r="1121" spans="1:4">
      <c r="A1121" t="s">
        <v>9</v>
      </c>
      <c r="B1121" t="s">
        <v>90</v>
      </c>
      <c r="C1121" s="9">
        <v>46119</v>
      </c>
      <c r="D1121" s="10">
        <v>37598</v>
      </c>
    </row>
    <row r="1122" spans="1:4">
      <c r="A1122" t="s">
        <v>9</v>
      </c>
      <c r="B1122" t="s">
        <v>276</v>
      </c>
      <c r="C1122" s="9">
        <v>46119</v>
      </c>
      <c r="D1122" s="10">
        <v>30737</v>
      </c>
    </row>
    <row r="1123" spans="1:4">
      <c r="A1123" t="s">
        <v>9</v>
      </c>
      <c r="B1123" t="s">
        <v>292</v>
      </c>
      <c r="C1123" s="9">
        <v>46119</v>
      </c>
      <c r="D1123" s="10">
        <v>47543</v>
      </c>
    </row>
    <row r="1124" spans="1:4">
      <c r="A1124" t="s">
        <v>9</v>
      </c>
      <c r="B1124" t="s">
        <v>76</v>
      </c>
      <c r="C1124" s="9">
        <v>46119</v>
      </c>
      <c r="D1124" s="10">
        <v>24094</v>
      </c>
    </row>
    <row r="1125" spans="1:4">
      <c r="A1125" t="s">
        <v>5</v>
      </c>
      <c r="B1125" t="s">
        <v>70</v>
      </c>
      <c r="C1125" s="9">
        <v>46119</v>
      </c>
      <c r="D1125" s="10">
        <v>33815</v>
      </c>
    </row>
    <row r="1126" spans="1:4">
      <c r="A1126" t="s">
        <v>4</v>
      </c>
      <c r="B1126" t="s">
        <v>234</v>
      </c>
      <c r="C1126" s="9">
        <v>46120</v>
      </c>
      <c r="D1126" s="10">
        <v>13130</v>
      </c>
    </row>
    <row r="1127" spans="1:4">
      <c r="A1127" t="s">
        <v>25</v>
      </c>
      <c r="B1127" t="s">
        <v>171</v>
      </c>
      <c r="C1127" s="9">
        <v>46120</v>
      </c>
      <c r="D1127" s="10">
        <v>14402</v>
      </c>
    </row>
    <row r="1128" spans="1:4">
      <c r="A1128" t="s">
        <v>28</v>
      </c>
      <c r="B1128" t="s">
        <v>237</v>
      </c>
      <c r="C1128" s="9">
        <v>46120</v>
      </c>
      <c r="D1128" s="10">
        <v>8095</v>
      </c>
    </row>
    <row r="1129" spans="1:4">
      <c r="A1129" t="s">
        <v>6</v>
      </c>
      <c r="B1129" t="s">
        <v>233</v>
      </c>
      <c r="C1129" s="9">
        <v>46120</v>
      </c>
      <c r="D1129" s="10">
        <v>20498</v>
      </c>
    </row>
    <row r="1130" spans="1:4">
      <c r="A1130" t="s">
        <v>7</v>
      </c>
      <c r="B1130" t="s">
        <v>276</v>
      </c>
      <c r="C1130" s="9">
        <v>46120</v>
      </c>
      <c r="D1130" s="10">
        <v>24032</v>
      </c>
    </row>
    <row r="1131" spans="1:4">
      <c r="A1131" t="s">
        <v>9</v>
      </c>
      <c r="B1131" t="s">
        <v>102</v>
      </c>
      <c r="C1131" s="9">
        <v>46120</v>
      </c>
      <c r="D1131" s="10">
        <v>34897</v>
      </c>
    </row>
    <row r="1132" spans="1:4">
      <c r="A1132" t="s">
        <v>9</v>
      </c>
      <c r="B1132" t="s">
        <v>70</v>
      </c>
      <c r="C1132" s="9">
        <v>46120</v>
      </c>
      <c r="D1132" s="10">
        <v>42405</v>
      </c>
    </row>
    <row r="1133" spans="1:4">
      <c r="A1133" t="s">
        <v>5</v>
      </c>
      <c r="B1133" t="s">
        <v>78</v>
      </c>
      <c r="C1133" s="9">
        <v>46120</v>
      </c>
      <c r="D1133" s="10">
        <v>42328</v>
      </c>
    </row>
    <row r="1134" spans="1:4">
      <c r="A1134" t="s">
        <v>5</v>
      </c>
      <c r="B1134" t="s">
        <v>142</v>
      </c>
      <c r="C1134" s="9">
        <v>46120</v>
      </c>
      <c r="D1134" s="10">
        <v>37242</v>
      </c>
    </row>
    <row r="1135" spans="1:4">
      <c r="A1135" t="s">
        <v>27</v>
      </c>
      <c r="B1135" t="s">
        <v>240</v>
      </c>
      <c r="C1135" s="9">
        <v>46121</v>
      </c>
      <c r="D1135" s="10">
        <v>9025</v>
      </c>
    </row>
    <row r="1136" spans="1:4">
      <c r="A1136" t="s">
        <v>4</v>
      </c>
      <c r="B1136" t="s">
        <v>67</v>
      </c>
      <c r="C1136" s="9">
        <v>46121</v>
      </c>
      <c r="D1136" s="10">
        <v>43151</v>
      </c>
    </row>
    <row r="1137" spans="1:4">
      <c r="A1137" t="s">
        <v>4</v>
      </c>
      <c r="B1137" t="s">
        <v>165</v>
      </c>
      <c r="C1137" s="9">
        <v>46121</v>
      </c>
      <c r="D1137" s="10">
        <v>36683</v>
      </c>
    </row>
    <row r="1138" spans="1:4">
      <c r="A1138" t="s">
        <v>4</v>
      </c>
      <c r="B1138" t="s">
        <v>285</v>
      </c>
      <c r="C1138" s="9">
        <v>46121</v>
      </c>
      <c r="D1138" s="10">
        <v>32666</v>
      </c>
    </row>
    <row r="1139" spans="1:4">
      <c r="A1139" t="s">
        <v>4</v>
      </c>
      <c r="B1139" t="s">
        <v>197</v>
      </c>
      <c r="C1139" s="9">
        <v>46121</v>
      </c>
      <c r="D1139" s="10">
        <v>31060</v>
      </c>
    </row>
    <row r="1140" spans="1:4">
      <c r="A1140" t="s">
        <v>28</v>
      </c>
      <c r="B1140" t="s">
        <v>148</v>
      </c>
      <c r="C1140" s="9">
        <v>46121</v>
      </c>
      <c r="D1140" s="10">
        <v>10343</v>
      </c>
    </row>
    <row r="1141" spans="1:4">
      <c r="A1141" t="s">
        <v>26</v>
      </c>
      <c r="B1141" t="s">
        <v>156</v>
      </c>
      <c r="C1141" s="9">
        <v>46121</v>
      </c>
      <c r="D1141" s="10">
        <v>15423</v>
      </c>
    </row>
    <row r="1142" spans="1:4">
      <c r="A1142" t="s">
        <v>9</v>
      </c>
      <c r="B1142" t="s">
        <v>108</v>
      </c>
      <c r="C1142" s="9">
        <v>46121</v>
      </c>
      <c r="D1142" s="10">
        <v>43487</v>
      </c>
    </row>
    <row r="1143" spans="1:4">
      <c r="A1143" t="s">
        <v>5</v>
      </c>
      <c r="B1143" t="s">
        <v>116</v>
      </c>
      <c r="C1143" s="9">
        <v>46121</v>
      </c>
      <c r="D1143" s="10">
        <v>39568</v>
      </c>
    </row>
    <row r="1144" spans="1:4">
      <c r="A1144" t="s">
        <v>5</v>
      </c>
      <c r="B1144" t="s">
        <v>116</v>
      </c>
      <c r="C1144" s="9">
        <v>46121</v>
      </c>
      <c r="D1144" s="10">
        <v>46489</v>
      </c>
    </row>
    <row r="1145" spans="1:4">
      <c r="A1145" t="s">
        <v>5</v>
      </c>
      <c r="B1145" t="s">
        <v>176</v>
      </c>
      <c r="C1145" s="9">
        <v>46121</v>
      </c>
      <c r="D1145" s="10">
        <v>40016</v>
      </c>
    </row>
    <row r="1146" spans="1:4">
      <c r="A1146" t="s">
        <v>5</v>
      </c>
      <c r="B1146" t="s">
        <v>143</v>
      </c>
      <c r="C1146" s="9">
        <v>46121</v>
      </c>
      <c r="D1146" s="10">
        <v>39909</v>
      </c>
    </row>
    <row r="1147" spans="1:4">
      <c r="A1147" t="s">
        <v>5</v>
      </c>
      <c r="B1147" t="s">
        <v>122</v>
      </c>
      <c r="C1147" s="9">
        <v>46121</v>
      </c>
      <c r="D1147" s="10">
        <v>37795</v>
      </c>
    </row>
    <row r="1148" spans="1:4">
      <c r="A1148" t="s">
        <v>35</v>
      </c>
      <c r="B1148" t="s">
        <v>98</v>
      </c>
      <c r="C1148" s="9">
        <v>46122</v>
      </c>
      <c r="D1148" s="10">
        <v>25522</v>
      </c>
    </row>
    <row r="1149" spans="1:4">
      <c r="A1149" t="s">
        <v>4</v>
      </c>
      <c r="B1149" t="s">
        <v>205</v>
      </c>
      <c r="C1149" s="9">
        <v>46122</v>
      </c>
      <c r="D1149" s="10">
        <v>30854</v>
      </c>
    </row>
    <row r="1150" spans="1:4">
      <c r="A1150" t="s">
        <v>31</v>
      </c>
      <c r="B1150" t="s">
        <v>155</v>
      </c>
      <c r="C1150" s="9">
        <v>46122</v>
      </c>
      <c r="D1150" s="10">
        <v>10334</v>
      </c>
    </row>
    <row r="1151" spans="1:4">
      <c r="A1151" t="s">
        <v>6</v>
      </c>
      <c r="B1151" t="s">
        <v>243</v>
      </c>
      <c r="C1151" s="9">
        <v>46122</v>
      </c>
      <c r="D1151" s="10">
        <v>18669</v>
      </c>
    </row>
    <row r="1152" spans="1:4">
      <c r="A1152" t="s">
        <v>9</v>
      </c>
      <c r="B1152" t="s">
        <v>192</v>
      </c>
      <c r="C1152" s="9">
        <v>46122</v>
      </c>
      <c r="D1152" s="10">
        <v>40843</v>
      </c>
    </row>
    <row r="1153" spans="1:4">
      <c r="A1153" t="s">
        <v>5</v>
      </c>
      <c r="B1153" t="s">
        <v>211</v>
      </c>
      <c r="C1153" s="9">
        <v>46122</v>
      </c>
      <c r="D1153" s="10">
        <v>28751</v>
      </c>
    </row>
    <row r="1154" spans="1:4">
      <c r="A1154" t="s">
        <v>5</v>
      </c>
      <c r="B1154" t="s">
        <v>152</v>
      </c>
      <c r="C1154" s="9">
        <v>46122</v>
      </c>
      <c r="D1154" s="10">
        <v>41877</v>
      </c>
    </row>
    <row r="1155" spans="1:4">
      <c r="A1155" t="s">
        <v>5</v>
      </c>
      <c r="B1155" t="s">
        <v>121</v>
      </c>
      <c r="C1155" s="9">
        <v>46122</v>
      </c>
      <c r="D1155" s="10">
        <v>45622</v>
      </c>
    </row>
    <row r="1156" spans="1:4">
      <c r="A1156" t="s">
        <v>5</v>
      </c>
      <c r="B1156" t="s">
        <v>187</v>
      </c>
      <c r="C1156" s="9">
        <v>46122</v>
      </c>
      <c r="D1156" s="10">
        <v>42914</v>
      </c>
    </row>
    <row r="1157" spans="1:4">
      <c r="A1157" t="s">
        <v>5</v>
      </c>
      <c r="B1157" t="s">
        <v>168</v>
      </c>
      <c r="C1157" s="9">
        <v>46122</v>
      </c>
      <c r="D1157" s="10">
        <v>47778</v>
      </c>
    </row>
    <row r="1158" spans="1:4">
      <c r="A1158" t="s">
        <v>5</v>
      </c>
      <c r="B1158" t="s">
        <v>136</v>
      </c>
      <c r="C1158" s="9">
        <v>46122</v>
      </c>
      <c r="D1158" s="10">
        <v>30061</v>
      </c>
    </row>
    <row r="1159" spans="1:4">
      <c r="A1159" t="s">
        <v>5</v>
      </c>
      <c r="B1159" t="s">
        <v>68</v>
      </c>
      <c r="C1159" s="9">
        <v>46122</v>
      </c>
      <c r="D1159" s="10">
        <v>44112</v>
      </c>
    </row>
    <row r="1160" spans="1:4">
      <c r="A1160" t="s">
        <v>5</v>
      </c>
      <c r="B1160" t="s">
        <v>178</v>
      </c>
      <c r="C1160" s="9">
        <v>46122</v>
      </c>
      <c r="D1160" s="10">
        <v>62633</v>
      </c>
    </row>
    <row r="1161" spans="1:4">
      <c r="A1161" t="s">
        <v>27</v>
      </c>
      <c r="B1161" t="s">
        <v>85</v>
      </c>
      <c r="C1161" s="9">
        <v>46123</v>
      </c>
      <c r="D1161" s="10">
        <v>14693</v>
      </c>
    </row>
    <row r="1162" spans="1:4">
      <c r="A1162" t="s">
        <v>25</v>
      </c>
      <c r="B1162" t="s">
        <v>251</v>
      </c>
      <c r="C1162" s="9">
        <v>46123</v>
      </c>
      <c r="D1162" s="10">
        <v>27919</v>
      </c>
    </row>
    <row r="1163" spans="1:4">
      <c r="A1163" t="s">
        <v>8</v>
      </c>
      <c r="B1163" t="s">
        <v>139</v>
      </c>
      <c r="C1163" s="9">
        <v>46123</v>
      </c>
      <c r="D1163" s="10">
        <v>16383</v>
      </c>
    </row>
    <row r="1164" spans="1:4">
      <c r="A1164" t="s">
        <v>32</v>
      </c>
      <c r="B1164" t="s">
        <v>88</v>
      </c>
      <c r="C1164" s="9">
        <v>46123</v>
      </c>
      <c r="D1164" s="10">
        <v>11517</v>
      </c>
    </row>
    <row r="1165" spans="1:4">
      <c r="A1165" t="s">
        <v>6</v>
      </c>
      <c r="B1165" t="s">
        <v>225</v>
      </c>
      <c r="C1165" s="9">
        <v>46123</v>
      </c>
      <c r="D1165" s="10">
        <v>22347</v>
      </c>
    </row>
    <row r="1166" spans="1:4">
      <c r="A1166" t="s">
        <v>29</v>
      </c>
      <c r="B1166" t="s">
        <v>281</v>
      </c>
      <c r="C1166" s="9">
        <v>46123</v>
      </c>
      <c r="D1166" s="10">
        <v>26012</v>
      </c>
    </row>
    <row r="1167" spans="1:4">
      <c r="A1167" t="s">
        <v>7</v>
      </c>
      <c r="B1167" t="s">
        <v>130</v>
      </c>
      <c r="C1167" s="9">
        <v>46123</v>
      </c>
      <c r="D1167" s="10">
        <v>14379</v>
      </c>
    </row>
    <row r="1168" spans="1:4">
      <c r="A1168" t="s">
        <v>9</v>
      </c>
      <c r="B1168" t="s">
        <v>259</v>
      </c>
      <c r="C1168" s="9">
        <v>46123</v>
      </c>
      <c r="D1168" s="10">
        <v>10337</v>
      </c>
    </row>
    <row r="1169" spans="1:4">
      <c r="A1169" t="s">
        <v>5</v>
      </c>
      <c r="B1169" t="s">
        <v>77</v>
      </c>
      <c r="C1169" s="9">
        <v>46123</v>
      </c>
      <c r="D1169" s="10">
        <v>42085</v>
      </c>
    </row>
    <row r="1170" spans="1:4">
      <c r="A1170" t="s">
        <v>35</v>
      </c>
      <c r="B1170" t="s">
        <v>246</v>
      </c>
      <c r="C1170" s="9">
        <v>46124</v>
      </c>
      <c r="D1170" s="10">
        <v>24246</v>
      </c>
    </row>
    <row r="1171" spans="1:4">
      <c r="A1171" t="s">
        <v>27</v>
      </c>
      <c r="B1171" t="s">
        <v>200</v>
      </c>
      <c r="C1171" s="9">
        <v>46124</v>
      </c>
      <c r="D1171" s="10">
        <v>10232</v>
      </c>
    </row>
    <row r="1172" spans="1:4">
      <c r="A1172" t="s">
        <v>7</v>
      </c>
      <c r="B1172" t="s">
        <v>162</v>
      </c>
      <c r="C1172" s="9">
        <v>46124</v>
      </c>
      <c r="D1172" s="10">
        <v>24232</v>
      </c>
    </row>
    <row r="1173" spans="1:4">
      <c r="A1173" t="s">
        <v>9</v>
      </c>
      <c r="B1173" t="s">
        <v>81</v>
      </c>
      <c r="C1173" s="9">
        <v>46124</v>
      </c>
      <c r="D1173" s="10">
        <v>33433</v>
      </c>
    </row>
    <row r="1174" spans="1:4">
      <c r="A1174" t="s">
        <v>9</v>
      </c>
      <c r="B1174" t="s">
        <v>91</v>
      </c>
      <c r="C1174" s="9">
        <v>46124</v>
      </c>
      <c r="D1174" s="10">
        <v>38631</v>
      </c>
    </row>
    <row r="1175" spans="1:4">
      <c r="A1175" t="s">
        <v>5</v>
      </c>
      <c r="B1175" t="s">
        <v>135</v>
      </c>
      <c r="C1175" s="9">
        <v>46124</v>
      </c>
      <c r="D1175" s="10">
        <v>39509</v>
      </c>
    </row>
    <row r="1176" spans="1:4">
      <c r="A1176" t="s">
        <v>5</v>
      </c>
      <c r="B1176" t="s">
        <v>117</v>
      </c>
      <c r="C1176" s="9">
        <v>46124</v>
      </c>
      <c r="D1176" s="10">
        <v>30396</v>
      </c>
    </row>
    <row r="1177" spans="1:4">
      <c r="A1177" t="s">
        <v>5</v>
      </c>
      <c r="B1177" t="s">
        <v>68</v>
      </c>
      <c r="C1177" s="9">
        <v>46124</v>
      </c>
      <c r="D1177" s="10">
        <v>39893</v>
      </c>
    </row>
    <row r="1178" spans="1:4">
      <c r="A1178" t="s">
        <v>5</v>
      </c>
      <c r="B1178" t="s">
        <v>206</v>
      </c>
      <c r="C1178" s="9">
        <v>46124</v>
      </c>
      <c r="D1178" s="10">
        <v>33033</v>
      </c>
    </row>
    <row r="1179" spans="1:4">
      <c r="A1179" t="s">
        <v>5</v>
      </c>
      <c r="B1179" t="s">
        <v>169</v>
      </c>
      <c r="C1179" s="9">
        <v>46124</v>
      </c>
      <c r="D1179" s="10">
        <v>43205</v>
      </c>
    </row>
    <row r="1180" spans="1:4">
      <c r="A1180" t="s">
        <v>5</v>
      </c>
      <c r="B1180" t="s">
        <v>69</v>
      </c>
      <c r="C1180" s="9">
        <v>46124</v>
      </c>
      <c r="D1180" s="10">
        <v>48851</v>
      </c>
    </row>
    <row r="1181" spans="1:4">
      <c r="A1181" t="s">
        <v>5</v>
      </c>
      <c r="B1181" t="s">
        <v>79</v>
      </c>
      <c r="C1181" s="9">
        <v>46124</v>
      </c>
      <c r="D1181" s="10">
        <v>41195</v>
      </c>
    </row>
    <row r="1182" spans="1:4">
      <c r="A1182" t="s">
        <v>5</v>
      </c>
      <c r="B1182" t="s">
        <v>71</v>
      </c>
      <c r="C1182" s="9">
        <v>46124</v>
      </c>
      <c r="D1182" s="10">
        <v>44361</v>
      </c>
    </row>
    <row r="1183" spans="1:4">
      <c r="A1183" t="s">
        <v>8</v>
      </c>
      <c r="B1183" t="s">
        <v>203</v>
      </c>
      <c r="C1183" s="9">
        <v>46125</v>
      </c>
      <c r="D1183" s="10">
        <v>16674</v>
      </c>
    </row>
    <row r="1184" spans="1:4">
      <c r="A1184" t="s">
        <v>7</v>
      </c>
      <c r="B1184" t="s">
        <v>61</v>
      </c>
      <c r="C1184" s="9">
        <v>46125</v>
      </c>
      <c r="D1184" s="10">
        <v>24258</v>
      </c>
    </row>
    <row r="1185" spans="1:4">
      <c r="A1185" t="s">
        <v>7</v>
      </c>
      <c r="B1185" t="s">
        <v>266</v>
      </c>
      <c r="C1185" s="9">
        <v>46125</v>
      </c>
      <c r="D1185" s="10">
        <v>8068</v>
      </c>
    </row>
    <row r="1186" spans="1:4">
      <c r="A1186" t="s">
        <v>7</v>
      </c>
      <c r="B1186" t="s">
        <v>129</v>
      </c>
      <c r="C1186" s="9">
        <v>46125</v>
      </c>
      <c r="D1186" s="10">
        <v>17716</v>
      </c>
    </row>
    <row r="1187" spans="1:4">
      <c r="A1187" t="s">
        <v>9</v>
      </c>
      <c r="B1187" t="s">
        <v>222</v>
      </c>
      <c r="C1187" s="9">
        <v>46125</v>
      </c>
      <c r="D1187" s="10">
        <v>45184</v>
      </c>
    </row>
    <row r="1188" spans="1:4">
      <c r="A1188" t="s">
        <v>5</v>
      </c>
      <c r="B1188" t="s">
        <v>198</v>
      </c>
      <c r="C1188" s="9">
        <v>46125</v>
      </c>
      <c r="D1188" s="10">
        <v>34099</v>
      </c>
    </row>
    <row r="1189" spans="1:4">
      <c r="A1189" t="s">
        <v>5</v>
      </c>
      <c r="B1189" t="s">
        <v>68</v>
      </c>
      <c r="C1189" s="9">
        <v>46125</v>
      </c>
      <c r="D1189" s="10">
        <v>39520</v>
      </c>
    </row>
    <row r="1190" spans="1:4">
      <c r="A1190" t="s">
        <v>5</v>
      </c>
      <c r="B1190" t="s">
        <v>110</v>
      </c>
      <c r="C1190" s="9">
        <v>46125</v>
      </c>
      <c r="D1190" s="10">
        <v>40668</v>
      </c>
    </row>
    <row r="1191" spans="1:4">
      <c r="A1191" t="s">
        <v>4</v>
      </c>
      <c r="B1191" t="s">
        <v>145</v>
      </c>
      <c r="C1191" s="9">
        <v>46126</v>
      </c>
      <c r="D1191" s="10">
        <v>39534</v>
      </c>
    </row>
    <row r="1192" spans="1:4">
      <c r="A1192" t="s">
        <v>6</v>
      </c>
      <c r="B1192" t="s">
        <v>274</v>
      </c>
      <c r="C1192" s="9">
        <v>46126</v>
      </c>
      <c r="D1192" s="10">
        <v>20784</v>
      </c>
    </row>
    <row r="1193" spans="1:4">
      <c r="A1193" t="s">
        <v>29</v>
      </c>
      <c r="B1193" t="s">
        <v>289</v>
      </c>
      <c r="C1193" s="9">
        <v>46126</v>
      </c>
      <c r="D1193" s="10">
        <v>11757</v>
      </c>
    </row>
    <row r="1194" spans="1:4">
      <c r="A1194" t="s">
        <v>9</v>
      </c>
      <c r="B1194" t="s">
        <v>283</v>
      </c>
      <c r="C1194" s="9">
        <v>46126</v>
      </c>
      <c r="D1194" s="10">
        <v>50191</v>
      </c>
    </row>
    <row r="1195" spans="1:4">
      <c r="A1195" t="s">
        <v>5</v>
      </c>
      <c r="B1195" t="s">
        <v>107</v>
      </c>
      <c r="C1195" s="9">
        <v>46126</v>
      </c>
      <c r="D1195" s="10">
        <v>49426</v>
      </c>
    </row>
    <row r="1196" spans="1:4">
      <c r="A1196" t="s">
        <v>5</v>
      </c>
      <c r="B1196" t="s">
        <v>142</v>
      </c>
      <c r="C1196" s="9">
        <v>46126</v>
      </c>
      <c r="D1196" s="10">
        <v>37246</v>
      </c>
    </row>
    <row r="1197" spans="1:4">
      <c r="A1197" t="s">
        <v>5</v>
      </c>
      <c r="B1197" t="s">
        <v>178</v>
      </c>
      <c r="C1197" s="9">
        <v>46126</v>
      </c>
      <c r="D1197" s="10">
        <v>53974</v>
      </c>
    </row>
    <row r="1198" spans="1:4">
      <c r="A1198" t="s">
        <v>4</v>
      </c>
      <c r="B1198" t="s">
        <v>250</v>
      </c>
      <c r="C1198" s="9">
        <v>46127</v>
      </c>
      <c r="D1198" s="10">
        <v>40857</v>
      </c>
    </row>
    <row r="1199" spans="1:4">
      <c r="A1199" t="s">
        <v>6</v>
      </c>
      <c r="B1199" t="s">
        <v>256</v>
      </c>
      <c r="C1199" s="9">
        <v>46127</v>
      </c>
      <c r="D1199" s="10">
        <v>5200</v>
      </c>
    </row>
    <row r="1200" spans="1:4">
      <c r="A1200" t="s">
        <v>29</v>
      </c>
      <c r="B1200" t="s">
        <v>263</v>
      </c>
      <c r="C1200" s="9">
        <v>46127</v>
      </c>
      <c r="D1200" s="10">
        <v>13500</v>
      </c>
    </row>
    <row r="1201" spans="1:4">
      <c r="A1201" t="s">
        <v>9</v>
      </c>
      <c r="B1201" t="s">
        <v>222</v>
      </c>
      <c r="C1201" s="9">
        <v>46127</v>
      </c>
      <c r="D1201" s="10">
        <v>35102</v>
      </c>
    </row>
    <row r="1202" spans="1:4">
      <c r="A1202" t="s">
        <v>5</v>
      </c>
      <c r="B1202" t="s">
        <v>116</v>
      </c>
      <c r="C1202" s="9">
        <v>46127</v>
      </c>
      <c r="D1202" s="10">
        <v>37692</v>
      </c>
    </row>
    <row r="1203" spans="1:4">
      <c r="A1203" t="s">
        <v>5</v>
      </c>
      <c r="B1203" t="s">
        <v>118</v>
      </c>
      <c r="C1203" s="9">
        <v>46127</v>
      </c>
      <c r="D1203" s="10">
        <v>38315</v>
      </c>
    </row>
    <row r="1204" spans="1:4">
      <c r="A1204" t="s">
        <v>5</v>
      </c>
      <c r="B1204" t="s">
        <v>69</v>
      </c>
      <c r="C1204" s="9">
        <v>46127</v>
      </c>
      <c r="D1204" s="10">
        <v>39415</v>
      </c>
    </row>
    <row r="1205" spans="1:4">
      <c r="A1205" t="s">
        <v>35</v>
      </c>
      <c r="B1205" t="s">
        <v>80</v>
      </c>
      <c r="C1205" s="9">
        <v>46128</v>
      </c>
      <c r="D1205" s="10">
        <v>19476</v>
      </c>
    </row>
    <row r="1206" spans="1:4">
      <c r="A1206" t="s">
        <v>4</v>
      </c>
      <c r="B1206" t="s">
        <v>290</v>
      </c>
      <c r="C1206" s="9">
        <v>46128</v>
      </c>
      <c r="D1206" s="10">
        <v>26788</v>
      </c>
    </row>
    <row r="1207" spans="1:4">
      <c r="A1207" t="s">
        <v>25</v>
      </c>
      <c r="B1207" t="s">
        <v>126</v>
      </c>
      <c r="C1207" s="9">
        <v>46128</v>
      </c>
      <c r="D1207" s="10">
        <v>20657</v>
      </c>
    </row>
    <row r="1208" spans="1:4">
      <c r="A1208" t="s">
        <v>28</v>
      </c>
      <c r="B1208" t="s">
        <v>255</v>
      </c>
      <c r="C1208" s="9">
        <v>46128</v>
      </c>
      <c r="D1208" s="10">
        <v>13654</v>
      </c>
    </row>
    <row r="1209" spans="1:4">
      <c r="A1209" t="s">
        <v>6</v>
      </c>
      <c r="B1209" t="s">
        <v>170</v>
      </c>
      <c r="C1209" s="9">
        <v>46128</v>
      </c>
      <c r="D1209" s="10">
        <v>19455</v>
      </c>
    </row>
    <row r="1210" spans="1:4">
      <c r="A1210" t="s">
        <v>7</v>
      </c>
      <c r="B1210" t="s">
        <v>235</v>
      </c>
      <c r="C1210" s="9">
        <v>46128</v>
      </c>
      <c r="D1210" s="10">
        <v>28268</v>
      </c>
    </row>
    <row r="1211" spans="1:4">
      <c r="A1211" t="s">
        <v>37</v>
      </c>
      <c r="B1211" t="s">
        <v>164</v>
      </c>
      <c r="C1211" s="9">
        <v>46128</v>
      </c>
      <c r="D1211" s="10">
        <v>15242</v>
      </c>
    </row>
    <row r="1212" spans="1:4">
      <c r="A1212" t="s">
        <v>9</v>
      </c>
      <c r="B1212" t="s">
        <v>151</v>
      </c>
      <c r="C1212" s="9">
        <v>46128</v>
      </c>
      <c r="D1212" s="10">
        <v>33576</v>
      </c>
    </row>
    <row r="1213" spans="1:4">
      <c r="A1213" t="s">
        <v>9</v>
      </c>
      <c r="B1213" t="s">
        <v>198</v>
      </c>
      <c r="C1213" s="9">
        <v>46128</v>
      </c>
      <c r="D1213" s="10">
        <v>35700</v>
      </c>
    </row>
    <row r="1214" spans="1:4">
      <c r="A1214" t="s">
        <v>9</v>
      </c>
      <c r="B1214" t="s">
        <v>166</v>
      </c>
      <c r="C1214" s="9">
        <v>46128</v>
      </c>
      <c r="D1214" s="10">
        <v>35655</v>
      </c>
    </row>
    <row r="1215" spans="1:4">
      <c r="A1215" t="s">
        <v>9</v>
      </c>
      <c r="B1215" t="s">
        <v>65</v>
      </c>
      <c r="C1215" s="9">
        <v>46128</v>
      </c>
      <c r="D1215" s="10">
        <v>9660</v>
      </c>
    </row>
    <row r="1216" spans="1:4">
      <c r="A1216" t="s">
        <v>5</v>
      </c>
      <c r="B1216" t="s">
        <v>66</v>
      </c>
      <c r="C1216" s="9">
        <v>46128</v>
      </c>
      <c r="D1216" s="10">
        <v>35755</v>
      </c>
    </row>
    <row r="1217" spans="1:4">
      <c r="A1217" t="s">
        <v>5</v>
      </c>
      <c r="B1217" t="s">
        <v>121</v>
      </c>
      <c r="C1217" s="9">
        <v>46128</v>
      </c>
      <c r="D1217" s="10">
        <v>40288</v>
      </c>
    </row>
    <row r="1218" spans="1:4">
      <c r="A1218" t="s">
        <v>5</v>
      </c>
      <c r="B1218" t="s">
        <v>121</v>
      </c>
      <c r="C1218" s="9">
        <v>46128</v>
      </c>
      <c r="D1218" s="10">
        <v>36789</v>
      </c>
    </row>
    <row r="1219" spans="1:4">
      <c r="A1219" t="s">
        <v>5</v>
      </c>
      <c r="B1219" t="s">
        <v>121</v>
      </c>
      <c r="C1219" s="9">
        <v>46128</v>
      </c>
      <c r="D1219" s="10">
        <v>31673</v>
      </c>
    </row>
    <row r="1220" spans="1:4">
      <c r="A1220" t="s">
        <v>5</v>
      </c>
      <c r="B1220" t="s">
        <v>198</v>
      </c>
      <c r="C1220" s="9">
        <v>46128</v>
      </c>
      <c r="D1220" s="10">
        <v>44807</v>
      </c>
    </row>
    <row r="1221" spans="1:4">
      <c r="A1221" t="s">
        <v>5</v>
      </c>
      <c r="B1221" t="s">
        <v>118</v>
      </c>
      <c r="C1221" s="9">
        <v>46128</v>
      </c>
      <c r="D1221" s="10">
        <v>51164</v>
      </c>
    </row>
    <row r="1222" spans="1:4">
      <c r="A1222" t="s">
        <v>5</v>
      </c>
      <c r="B1222" t="s">
        <v>177</v>
      </c>
      <c r="C1222" s="9">
        <v>46128</v>
      </c>
      <c r="D1222" s="10">
        <v>43058</v>
      </c>
    </row>
    <row r="1223" spans="1:4">
      <c r="A1223" t="s">
        <v>4</v>
      </c>
      <c r="B1223" t="s">
        <v>193</v>
      </c>
      <c r="C1223" s="9">
        <v>46129</v>
      </c>
      <c r="D1223" s="10">
        <v>8131</v>
      </c>
    </row>
    <row r="1224" spans="1:4">
      <c r="A1224" t="s">
        <v>25</v>
      </c>
      <c r="B1224" t="s">
        <v>97</v>
      </c>
      <c r="C1224" s="9">
        <v>46129</v>
      </c>
      <c r="D1224" s="10">
        <v>14911</v>
      </c>
    </row>
    <row r="1225" spans="1:4">
      <c r="A1225" t="s">
        <v>28</v>
      </c>
      <c r="B1225" t="s">
        <v>127</v>
      </c>
      <c r="C1225" s="9">
        <v>46129</v>
      </c>
      <c r="D1225" s="10">
        <v>13155</v>
      </c>
    </row>
    <row r="1226" spans="1:4">
      <c r="A1226" t="s">
        <v>26</v>
      </c>
      <c r="B1226" t="s">
        <v>209</v>
      </c>
      <c r="C1226" s="9">
        <v>46129</v>
      </c>
      <c r="D1226" s="10">
        <v>8847</v>
      </c>
    </row>
    <row r="1227" spans="1:4">
      <c r="A1227" t="s">
        <v>8</v>
      </c>
      <c r="B1227" t="s">
        <v>158</v>
      </c>
      <c r="C1227" s="9">
        <v>46129</v>
      </c>
      <c r="D1227" s="10">
        <v>18364</v>
      </c>
    </row>
    <row r="1228" spans="1:4">
      <c r="A1228" t="s">
        <v>8</v>
      </c>
      <c r="B1228" t="s">
        <v>232</v>
      </c>
      <c r="C1228" s="9">
        <v>46129</v>
      </c>
      <c r="D1228" s="10">
        <v>18784</v>
      </c>
    </row>
    <row r="1229" spans="1:4">
      <c r="A1229" t="s">
        <v>29</v>
      </c>
      <c r="B1229" t="s">
        <v>189</v>
      </c>
      <c r="C1229" s="9">
        <v>46129</v>
      </c>
      <c r="D1229" s="10">
        <v>26072</v>
      </c>
    </row>
    <row r="1230" spans="1:4">
      <c r="A1230" t="s">
        <v>7</v>
      </c>
      <c r="B1230" t="s">
        <v>101</v>
      </c>
      <c r="C1230" s="9">
        <v>46129</v>
      </c>
      <c r="D1230" s="10">
        <v>22463</v>
      </c>
    </row>
    <row r="1231" spans="1:4">
      <c r="A1231" t="s">
        <v>9</v>
      </c>
      <c r="B1231" t="s">
        <v>268</v>
      </c>
      <c r="C1231" s="9">
        <v>46129</v>
      </c>
      <c r="D1231" s="10">
        <v>25783</v>
      </c>
    </row>
    <row r="1232" spans="1:4">
      <c r="A1232" t="s">
        <v>9</v>
      </c>
      <c r="B1232" t="s">
        <v>90</v>
      </c>
      <c r="C1232" s="9">
        <v>46129</v>
      </c>
      <c r="D1232" s="10">
        <v>30954</v>
      </c>
    </row>
    <row r="1233" spans="1:4">
      <c r="A1233" t="s">
        <v>9</v>
      </c>
      <c r="B1233" t="s">
        <v>68</v>
      </c>
      <c r="C1233" s="9">
        <v>46129</v>
      </c>
      <c r="D1233" s="10">
        <v>34432</v>
      </c>
    </row>
    <row r="1234" spans="1:4">
      <c r="A1234" t="s">
        <v>5</v>
      </c>
      <c r="B1234" t="s">
        <v>109</v>
      </c>
      <c r="C1234" s="9">
        <v>46129</v>
      </c>
      <c r="D1234" s="10">
        <v>50295</v>
      </c>
    </row>
    <row r="1235" spans="1:4">
      <c r="A1235" t="s">
        <v>5</v>
      </c>
      <c r="B1235" t="s">
        <v>198</v>
      </c>
      <c r="C1235" s="9">
        <v>46129</v>
      </c>
      <c r="D1235" s="10">
        <v>34676</v>
      </c>
    </row>
    <row r="1236" spans="1:4">
      <c r="A1236" t="s">
        <v>27</v>
      </c>
      <c r="B1236" t="s">
        <v>212</v>
      </c>
      <c r="C1236" s="9">
        <v>46130</v>
      </c>
      <c r="D1236" s="10">
        <v>24821</v>
      </c>
    </row>
    <row r="1237" spans="1:4">
      <c r="A1237" t="s">
        <v>4</v>
      </c>
      <c r="B1237" t="s">
        <v>100</v>
      </c>
      <c r="C1237" s="9">
        <v>46130</v>
      </c>
      <c r="D1237" s="10">
        <v>10839</v>
      </c>
    </row>
    <row r="1238" spans="1:4">
      <c r="A1238" t="s">
        <v>31</v>
      </c>
      <c r="B1238" t="s">
        <v>286</v>
      </c>
      <c r="C1238" s="9">
        <v>46130</v>
      </c>
      <c r="D1238" s="10">
        <v>11960</v>
      </c>
    </row>
    <row r="1239" spans="1:4">
      <c r="A1239" t="s">
        <v>25</v>
      </c>
      <c r="B1239" t="s">
        <v>238</v>
      </c>
      <c r="C1239" s="9">
        <v>46130</v>
      </c>
      <c r="D1239" s="10">
        <v>11988</v>
      </c>
    </row>
    <row r="1240" spans="1:4">
      <c r="A1240" t="s">
        <v>33</v>
      </c>
      <c r="B1240" t="s">
        <v>99</v>
      </c>
      <c r="C1240" s="9">
        <v>46130</v>
      </c>
      <c r="D1240" s="10">
        <v>9899</v>
      </c>
    </row>
    <row r="1241" spans="1:4">
      <c r="A1241" t="s">
        <v>29</v>
      </c>
      <c r="B1241" t="s">
        <v>254</v>
      </c>
      <c r="C1241" s="9">
        <v>46130</v>
      </c>
      <c r="D1241" s="10">
        <v>12114</v>
      </c>
    </row>
    <row r="1242" spans="1:4">
      <c r="A1242" t="s">
        <v>9</v>
      </c>
      <c r="B1242" t="s">
        <v>186</v>
      </c>
      <c r="C1242" s="9">
        <v>46130</v>
      </c>
      <c r="D1242" s="10">
        <v>26551</v>
      </c>
    </row>
    <row r="1243" spans="1:4">
      <c r="A1243" t="s">
        <v>9</v>
      </c>
      <c r="B1243" t="s">
        <v>167</v>
      </c>
      <c r="C1243" s="9">
        <v>46130</v>
      </c>
      <c r="D1243" s="10">
        <v>19786</v>
      </c>
    </row>
    <row r="1244" spans="1:4">
      <c r="A1244" t="s">
        <v>5</v>
      </c>
      <c r="B1244" t="s">
        <v>63</v>
      </c>
      <c r="C1244" s="9">
        <v>46130</v>
      </c>
      <c r="D1244" s="10">
        <v>34302</v>
      </c>
    </row>
    <row r="1245" spans="1:4">
      <c r="A1245" t="s">
        <v>5</v>
      </c>
      <c r="B1245" t="s">
        <v>272</v>
      </c>
      <c r="C1245" s="9">
        <v>46130</v>
      </c>
      <c r="D1245" s="10">
        <v>45424</v>
      </c>
    </row>
    <row r="1246" spans="1:4">
      <c r="A1246" t="s">
        <v>5</v>
      </c>
      <c r="B1246" t="s">
        <v>230</v>
      </c>
      <c r="C1246" s="9">
        <v>46130</v>
      </c>
      <c r="D1246" s="10">
        <v>40424</v>
      </c>
    </row>
    <row r="1247" spans="1:4">
      <c r="A1247" t="s">
        <v>5</v>
      </c>
      <c r="B1247" t="s">
        <v>168</v>
      </c>
      <c r="C1247" s="9">
        <v>46130</v>
      </c>
      <c r="D1247" s="10">
        <v>33602</v>
      </c>
    </row>
    <row r="1248" spans="1:4">
      <c r="A1248" t="s">
        <v>5</v>
      </c>
      <c r="B1248" t="s">
        <v>136</v>
      </c>
      <c r="C1248" s="9">
        <v>46130</v>
      </c>
      <c r="D1248" s="10">
        <v>45351</v>
      </c>
    </row>
    <row r="1249" spans="1:4">
      <c r="A1249" t="s">
        <v>5</v>
      </c>
      <c r="B1249" t="s">
        <v>136</v>
      </c>
      <c r="C1249" s="9">
        <v>46130</v>
      </c>
      <c r="D1249" s="10">
        <v>35713</v>
      </c>
    </row>
    <row r="1250" spans="1:4">
      <c r="A1250" t="s">
        <v>5</v>
      </c>
      <c r="B1250" t="s">
        <v>95</v>
      </c>
      <c r="C1250" s="9">
        <v>46130</v>
      </c>
      <c r="D1250" s="10">
        <v>48059</v>
      </c>
    </row>
    <row r="1251" spans="1:4">
      <c r="A1251" t="s">
        <v>5</v>
      </c>
      <c r="B1251" t="s">
        <v>109</v>
      </c>
      <c r="C1251" s="9">
        <v>46130</v>
      </c>
      <c r="D1251" s="10">
        <v>50098</v>
      </c>
    </row>
    <row r="1252" spans="1:4">
      <c r="A1252" t="s">
        <v>5</v>
      </c>
      <c r="B1252" t="s">
        <v>199</v>
      </c>
      <c r="C1252" s="9">
        <v>46130</v>
      </c>
      <c r="D1252" s="10">
        <v>48042</v>
      </c>
    </row>
    <row r="1253" spans="1:4">
      <c r="A1253" t="s">
        <v>27</v>
      </c>
      <c r="B1253" t="s">
        <v>247</v>
      </c>
      <c r="C1253" s="9">
        <v>46131</v>
      </c>
      <c r="D1253" s="10">
        <v>12596</v>
      </c>
    </row>
    <row r="1254" spans="1:4">
      <c r="A1254" t="s">
        <v>31</v>
      </c>
      <c r="B1254" t="s">
        <v>82</v>
      </c>
      <c r="C1254" s="9">
        <v>46131</v>
      </c>
      <c r="D1254" s="10">
        <v>9921</v>
      </c>
    </row>
    <row r="1255" spans="1:4">
      <c r="A1255" t="s">
        <v>25</v>
      </c>
      <c r="B1255" t="s">
        <v>190</v>
      </c>
      <c r="C1255" s="9">
        <v>46131</v>
      </c>
      <c r="D1255" s="10">
        <v>16351</v>
      </c>
    </row>
    <row r="1256" spans="1:4">
      <c r="A1256" t="s">
        <v>28</v>
      </c>
      <c r="B1256" t="s">
        <v>202</v>
      </c>
      <c r="C1256" s="9">
        <v>46131</v>
      </c>
      <c r="D1256" s="10">
        <v>9773</v>
      </c>
    </row>
    <row r="1257" spans="1:4">
      <c r="A1257" t="s">
        <v>26</v>
      </c>
      <c r="B1257" t="s">
        <v>226</v>
      </c>
      <c r="C1257" s="9">
        <v>46131</v>
      </c>
      <c r="D1257" s="10">
        <v>13727</v>
      </c>
    </row>
    <row r="1258" spans="1:4">
      <c r="A1258" t="s">
        <v>6</v>
      </c>
      <c r="B1258" t="s">
        <v>208</v>
      </c>
      <c r="C1258" s="9">
        <v>46131</v>
      </c>
      <c r="D1258" s="10">
        <v>22107</v>
      </c>
    </row>
    <row r="1259" spans="1:4">
      <c r="A1259" t="s">
        <v>29</v>
      </c>
      <c r="B1259" t="s">
        <v>196</v>
      </c>
      <c r="C1259" s="9">
        <v>46131</v>
      </c>
      <c r="D1259" s="10">
        <v>13972</v>
      </c>
    </row>
    <row r="1260" spans="1:4">
      <c r="A1260" t="s">
        <v>7</v>
      </c>
      <c r="B1260" t="s">
        <v>245</v>
      </c>
      <c r="C1260" s="9">
        <v>46131</v>
      </c>
      <c r="D1260" s="10">
        <v>18048</v>
      </c>
    </row>
    <row r="1261" spans="1:4">
      <c r="A1261" t="s">
        <v>9</v>
      </c>
      <c r="B1261" t="s">
        <v>115</v>
      </c>
      <c r="C1261" s="9">
        <v>46131</v>
      </c>
      <c r="D1261" s="10">
        <v>32690</v>
      </c>
    </row>
    <row r="1262" spans="1:4">
      <c r="A1262" t="s">
        <v>5</v>
      </c>
      <c r="B1262" t="s">
        <v>211</v>
      </c>
      <c r="C1262" s="9">
        <v>46131</v>
      </c>
      <c r="D1262" s="10">
        <v>29970</v>
      </c>
    </row>
    <row r="1263" spans="1:4">
      <c r="A1263" t="s">
        <v>5</v>
      </c>
      <c r="B1263" t="s">
        <v>93</v>
      </c>
      <c r="C1263" s="9">
        <v>46131</v>
      </c>
      <c r="D1263" s="10">
        <v>32905</v>
      </c>
    </row>
    <row r="1264" spans="1:4">
      <c r="A1264" t="s">
        <v>5</v>
      </c>
      <c r="B1264" t="s">
        <v>142</v>
      </c>
      <c r="C1264" s="9">
        <v>46131</v>
      </c>
      <c r="D1264" s="10">
        <v>35187</v>
      </c>
    </row>
    <row r="1265" spans="1:4">
      <c r="A1265" t="s">
        <v>5</v>
      </c>
      <c r="B1265" t="s">
        <v>118</v>
      </c>
      <c r="C1265" s="9">
        <v>46131</v>
      </c>
      <c r="D1265" s="10">
        <v>47591</v>
      </c>
    </row>
    <row r="1266" spans="1:4">
      <c r="A1266" t="s">
        <v>5</v>
      </c>
      <c r="B1266" t="s">
        <v>210</v>
      </c>
      <c r="C1266" s="9">
        <v>46131</v>
      </c>
      <c r="D1266" s="10">
        <v>42059</v>
      </c>
    </row>
    <row r="1267" spans="1:4">
      <c r="A1267" t="s">
        <v>5</v>
      </c>
      <c r="B1267" t="s">
        <v>70</v>
      </c>
      <c r="C1267" s="9">
        <v>46131</v>
      </c>
      <c r="D1267" s="10">
        <v>41802</v>
      </c>
    </row>
    <row r="1268" spans="1:4">
      <c r="A1268" t="s">
        <v>4</v>
      </c>
      <c r="B1268" t="s">
        <v>93</v>
      </c>
      <c r="C1268" s="9">
        <v>46132</v>
      </c>
      <c r="D1268" s="10">
        <v>31473</v>
      </c>
    </row>
    <row r="1269" spans="1:4">
      <c r="A1269" t="s">
        <v>25</v>
      </c>
      <c r="B1269" t="s">
        <v>147</v>
      </c>
      <c r="C1269" s="9">
        <v>46132</v>
      </c>
      <c r="D1269" s="10">
        <v>10933</v>
      </c>
    </row>
    <row r="1270" spans="1:4">
      <c r="A1270" t="s">
        <v>25</v>
      </c>
      <c r="B1270" t="s">
        <v>59</v>
      </c>
      <c r="C1270" s="9">
        <v>46132</v>
      </c>
      <c r="D1270" s="10">
        <v>9951</v>
      </c>
    </row>
    <row r="1271" spans="1:4">
      <c r="A1271" t="s">
        <v>26</v>
      </c>
      <c r="B1271" t="s">
        <v>260</v>
      </c>
      <c r="C1271" s="9">
        <v>46132</v>
      </c>
      <c r="D1271" s="10">
        <v>13526</v>
      </c>
    </row>
    <row r="1272" spans="1:4">
      <c r="A1272" t="s">
        <v>6</v>
      </c>
      <c r="B1272" t="s">
        <v>280</v>
      </c>
      <c r="C1272" s="9">
        <v>46132</v>
      </c>
      <c r="D1272" s="10">
        <v>22319</v>
      </c>
    </row>
    <row r="1273" spans="1:4">
      <c r="A1273" t="s">
        <v>6</v>
      </c>
      <c r="B1273" t="s">
        <v>241</v>
      </c>
      <c r="C1273" s="9">
        <v>46132</v>
      </c>
      <c r="D1273" s="10">
        <v>23183</v>
      </c>
    </row>
    <row r="1274" spans="1:4">
      <c r="A1274" t="s">
        <v>33</v>
      </c>
      <c r="B1274" t="s">
        <v>244</v>
      </c>
      <c r="C1274" s="9">
        <v>46132</v>
      </c>
      <c r="D1274" s="10">
        <v>11137</v>
      </c>
    </row>
    <row r="1275" spans="1:4">
      <c r="A1275" t="s">
        <v>7</v>
      </c>
      <c r="B1275" t="s">
        <v>173</v>
      </c>
      <c r="C1275" s="9">
        <v>46132</v>
      </c>
      <c r="D1275" s="10">
        <v>24925</v>
      </c>
    </row>
    <row r="1276" spans="1:4">
      <c r="A1276" t="s">
        <v>7</v>
      </c>
      <c r="B1276" t="s">
        <v>163</v>
      </c>
      <c r="C1276" s="9">
        <v>46132</v>
      </c>
      <c r="D1276" s="10">
        <v>23556</v>
      </c>
    </row>
    <row r="1277" spans="1:4">
      <c r="A1277" t="s">
        <v>9</v>
      </c>
      <c r="B1277" t="s">
        <v>57</v>
      </c>
      <c r="C1277" s="9">
        <v>46132</v>
      </c>
      <c r="D1277" s="10">
        <v>60333</v>
      </c>
    </row>
    <row r="1278" spans="1:4">
      <c r="A1278" t="s">
        <v>9</v>
      </c>
      <c r="B1278" t="s">
        <v>174</v>
      </c>
      <c r="C1278" s="9">
        <v>46132</v>
      </c>
      <c r="D1278" s="10">
        <v>26228</v>
      </c>
    </row>
    <row r="1279" spans="1:4">
      <c r="A1279" t="s">
        <v>5</v>
      </c>
      <c r="B1279" t="s">
        <v>134</v>
      </c>
      <c r="C1279" s="9">
        <v>46132</v>
      </c>
      <c r="D1279" s="10">
        <v>24513</v>
      </c>
    </row>
    <row r="1280" spans="1:4">
      <c r="A1280" t="s">
        <v>5</v>
      </c>
      <c r="B1280" t="s">
        <v>77</v>
      </c>
      <c r="C1280" s="9">
        <v>46132</v>
      </c>
      <c r="D1280" s="10">
        <v>38030</v>
      </c>
    </row>
    <row r="1281" spans="1:4">
      <c r="A1281" t="s">
        <v>5</v>
      </c>
      <c r="B1281" t="s">
        <v>272</v>
      </c>
      <c r="C1281" s="9">
        <v>46132</v>
      </c>
      <c r="D1281" s="10">
        <v>45177</v>
      </c>
    </row>
    <row r="1282" spans="1:4">
      <c r="A1282" t="s">
        <v>5</v>
      </c>
      <c r="B1282" t="s">
        <v>176</v>
      </c>
      <c r="C1282" s="9">
        <v>46132</v>
      </c>
      <c r="D1282" s="10">
        <v>39410</v>
      </c>
    </row>
    <row r="1283" spans="1:4">
      <c r="A1283" t="s">
        <v>5</v>
      </c>
      <c r="B1283" t="s">
        <v>151</v>
      </c>
      <c r="C1283" s="9">
        <v>46132</v>
      </c>
      <c r="D1283" s="10">
        <v>31412</v>
      </c>
    </row>
    <row r="1284" spans="1:4">
      <c r="A1284" t="s">
        <v>5</v>
      </c>
      <c r="B1284" t="s">
        <v>168</v>
      </c>
      <c r="C1284" s="9">
        <v>46132</v>
      </c>
      <c r="D1284" s="10">
        <v>32381</v>
      </c>
    </row>
    <row r="1285" spans="1:4">
      <c r="A1285" t="s">
        <v>5</v>
      </c>
      <c r="B1285" t="s">
        <v>109</v>
      </c>
      <c r="C1285" s="9">
        <v>46132</v>
      </c>
      <c r="D1285" s="10">
        <v>42394</v>
      </c>
    </row>
    <row r="1286" spans="1:4">
      <c r="A1286" t="s">
        <v>4</v>
      </c>
      <c r="B1286" t="s">
        <v>207</v>
      </c>
      <c r="C1286" s="9">
        <v>46133</v>
      </c>
      <c r="D1286" s="10">
        <v>31922</v>
      </c>
    </row>
    <row r="1287" spans="1:4">
      <c r="A1287" t="s">
        <v>4</v>
      </c>
      <c r="B1287" t="s">
        <v>277</v>
      </c>
      <c r="C1287" s="9">
        <v>46133</v>
      </c>
      <c r="D1287" s="10">
        <v>29291</v>
      </c>
    </row>
    <row r="1288" spans="1:4">
      <c r="A1288" t="s">
        <v>4</v>
      </c>
      <c r="B1288" t="s">
        <v>146</v>
      </c>
      <c r="C1288" s="9">
        <v>46133</v>
      </c>
      <c r="D1288" s="10">
        <v>31791</v>
      </c>
    </row>
    <row r="1289" spans="1:4">
      <c r="A1289" t="s">
        <v>30</v>
      </c>
      <c r="B1289" t="s">
        <v>279</v>
      </c>
      <c r="C1289" s="9">
        <v>46133</v>
      </c>
      <c r="D1289" s="10">
        <v>13087</v>
      </c>
    </row>
    <row r="1290" spans="1:4">
      <c r="A1290" t="s">
        <v>32</v>
      </c>
      <c r="B1290" t="s">
        <v>89</v>
      </c>
      <c r="C1290" s="9">
        <v>46133</v>
      </c>
      <c r="D1290" s="10">
        <v>14610</v>
      </c>
    </row>
    <row r="1291" spans="1:4">
      <c r="A1291" t="s">
        <v>6</v>
      </c>
      <c r="B1291" t="s">
        <v>262</v>
      </c>
      <c r="C1291" s="9">
        <v>46133</v>
      </c>
      <c r="D1291" s="10">
        <v>17398</v>
      </c>
    </row>
    <row r="1292" spans="1:4">
      <c r="A1292" t="s">
        <v>7</v>
      </c>
      <c r="B1292" t="s">
        <v>220</v>
      </c>
      <c r="C1292" s="9">
        <v>46133</v>
      </c>
      <c r="D1292" s="10">
        <v>25762</v>
      </c>
    </row>
    <row r="1293" spans="1:4">
      <c r="A1293" t="s">
        <v>9</v>
      </c>
      <c r="B1293" t="s">
        <v>152</v>
      </c>
      <c r="C1293" s="9">
        <v>46133</v>
      </c>
      <c r="D1293" s="10">
        <v>31531</v>
      </c>
    </row>
    <row r="1294" spans="1:4">
      <c r="A1294" t="s">
        <v>9</v>
      </c>
      <c r="B1294" t="s">
        <v>293</v>
      </c>
      <c r="C1294" s="9">
        <v>46133</v>
      </c>
      <c r="D1294" s="10">
        <v>47578</v>
      </c>
    </row>
    <row r="1295" spans="1:4">
      <c r="A1295" t="s">
        <v>5</v>
      </c>
      <c r="B1295" t="s">
        <v>284</v>
      </c>
      <c r="C1295" s="9">
        <v>46133</v>
      </c>
      <c r="D1295" s="10">
        <v>37669</v>
      </c>
    </row>
    <row r="1296" spans="1:4">
      <c r="A1296" t="s">
        <v>4</v>
      </c>
      <c r="B1296" t="s">
        <v>116</v>
      </c>
      <c r="C1296" s="9">
        <v>46134</v>
      </c>
      <c r="D1296" s="10">
        <v>43795</v>
      </c>
    </row>
    <row r="1297" spans="1:4">
      <c r="A1297" t="s">
        <v>4</v>
      </c>
      <c r="B1297" t="s">
        <v>125</v>
      </c>
      <c r="C1297" s="9">
        <v>46134</v>
      </c>
      <c r="D1297" s="10">
        <v>34935</v>
      </c>
    </row>
    <row r="1298" spans="1:4">
      <c r="A1298" t="s">
        <v>6</v>
      </c>
      <c r="B1298" t="s">
        <v>228</v>
      </c>
      <c r="C1298" s="9">
        <v>46134</v>
      </c>
      <c r="D1298" s="10">
        <v>20138</v>
      </c>
    </row>
    <row r="1299" spans="1:4">
      <c r="A1299" t="s">
        <v>9</v>
      </c>
      <c r="B1299" t="s">
        <v>78</v>
      </c>
      <c r="C1299" s="9">
        <v>46134</v>
      </c>
      <c r="D1299" s="10">
        <v>42553</v>
      </c>
    </row>
    <row r="1300" spans="1:4">
      <c r="A1300" t="s">
        <v>5</v>
      </c>
      <c r="B1300" t="s">
        <v>176</v>
      </c>
      <c r="C1300" s="9">
        <v>46134</v>
      </c>
      <c r="D1300" s="10">
        <v>45854</v>
      </c>
    </row>
    <row r="1301" spans="1:4">
      <c r="A1301" t="s">
        <v>5</v>
      </c>
      <c r="B1301" t="s">
        <v>169</v>
      </c>
      <c r="C1301" s="9">
        <v>46134</v>
      </c>
      <c r="D1301" s="10">
        <v>47523</v>
      </c>
    </row>
    <row r="1302" spans="1:4">
      <c r="A1302" t="s">
        <v>4</v>
      </c>
      <c r="B1302" t="s">
        <v>188</v>
      </c>
      <c r="C1302" s="9">
        <v>46135</v>
      </c>
      <c r="D1302" s="10">
        <v>31996</v>
      </c>
    </row>
    <row r="1303" spans="1:4">
      <c r="A1303" t="s">
        <v>31</v>
      </c>
      <c r="B1303" t="s">
        <v>236</v>
      </c>
      <c r="C1303" s="9">
        <v>46135</v>
      </c>
      <c r="D1303" s="10">
        <v>5200</v>
      </c>
    </row>
    <row r="1304" spans="1:4">
      <c r="A1304" t="s">
        <v>8</v>
      </c>
      <c r="B1304" t="s">
        <v>181</v>
      </c>
      <c r="C1304" s="9">
        <v>46135</v>
      </c>
      <c r="D1304" s="10">
        <v>5200</v>
      </c>
    </row>
    <row r="1305" spans="1:4">
      <c r="A1305" t="s">
        <v>6</v>
      </c>
      <c r="B1305" t="s">
        <v>184</v>
      </c>
      <c r="C1305" s="9">
        <v>46135</v>
      </c>
      <c r="D1305" s="10">
        <v>19135</v>
      </c>
    </row>
    <row r="1306" spans="1:4">
      <c r="A1306" t="s">
        <v>6</v>
      </c>
      <c r="B1306" t="s">
        <v>113</v>
      </c>
      <c r="C1306" s="9">
        <v>46135</v>
      </c>
      <c r="D1306" s="10">
        <v>18410</v>
      </c>
    </row>
    <row r="1307" spans="1:4">
      <c r="A1307" t="s">
        <v>6</v>
      </c>
      <c r="B1307" t="s">
        <v>172</v>
      </c>
      <c r="C1307" s="9">
        <v>46135</v>
      </c>
      <c r="D1307" s="10">
        <v>20155</v>
      </c>
    </row>
    <row r="1308" spans="1:4">
      <c r="A1308" t="s">
        <v>7</v>
      </c>
      <c r="B1308" t="s">
        <v>271</v>
      </c>
      <c r="C1308" s="9">
        <v>46135</v>
      </c>
      <c r="D1308" s="10">
        <v>26876</v>
      </c>
    </row>
    <row r="1309" spans="1:4">
      <c r="A1309" t="s">
        <v>7</v>
      </c>
      <c r="B1309" t="s">
        <v>267</v>
      </c>
      <c r="C1309" s="9">
        <v>46135</v>
      </c>
      <c r="D1309" s="10">
        <v>28239</v>
      </c>
    </row>
    <row r="1310" spans="1:4">
      <c r="A1310" t="s">
        <v>9</v>
      </c>
      <c r="B1310" t="s">
        <v>268</v>
      </c>
      <c r="C1310" s="9">
        <v>46135</v>
      </c>
      <c r="D1310" s="10">
        <v>25384</v>
      </c>
    </row>
    <row r="1311" spans="1:4">
      <c r="A1311" t="s">
        <v>5</v>
      </c>
      <c r="B1311" t="s">
        <v>224</v>
      </c>
      <c r="C1311" s="9">
        <v>46135</v>
      </c>
      <c r="D1311" s="10">
        <v>45725</v>
      </c>
    </row>
    <row r="1312" spans="1:4">
      <c r="A1312" t="s">
        <v>5</v>
      </c>
      <c r="B1312" t="s">
        <v>67</v>
      </c>
      <c r="C1312" s="9">
        <v>46135</v>
      </c>
      <c r="D1312" s="10">
        <v>48583</v>
      </c>
    </row>
    <row r="1313" spans="1:4">
      <c r="A1313" t="s">
        <v>5</v>
      </c>
      <c r="B1313" t="s">
        <v>107</v>
      </c>
      <c r="C1313" s="9">
        <v>46135</v>
      </c>
      <c r="D1313" s="10">
        <v>40561</v>
      </c>
    </row>
    <row r="1314" spans="1:4">
      <c r="A1314" t="s">
        <v>5</v>
      </c>
      <c r="B1314" t="s">
        <v>136</v>
      </c>
      <c r="C1314" s="9">
        <v>46135</v>
      </c>
      <c r="D1314" s="10">
        <v>40460</v>
      </c>
    </row>
    <row r="1315" spans="1:4">
      <c r="A1315" t="s">
        <v>5</v>
      </c>
      <c r="B1315" t="s">
        <v>95</v>
      </c>
      <c r="C1315" s="9">
        <v>46135</v>
      </c>
      <c r="D1315" s="10">
        <v>36673</v>
      </c>
    </row>
    <row r="1316" spans="1:4">
      <c r="A1316" t="s">
        <v>5</v>
      </c>
      <c r="B1316" t="s">
        <v>210</v>
      </c>
      <c r="C1316" s="9">
        <v>46135</v>
      </c>
      <c r="D1316" s="10">
        <v>30346</v>
      </c>
    </row>
    <row r="1317" spans="1:4">
      <c r="A1317" t="s">
        <v>27</v>
      </c>
      <c r="B1317" t="s">
        <v>144</v>
      </c>
      <c r="C1317" s="9">
        <v>46136</v>
      </c>
      <c r="D1317" s="10">
        <v>11947</v>
      </c>
    </row>
    <row r="1318" spans="1:4">
      <c r="A1318" t="s">
        <v>38</v>
      </c>
      <c r="B1318" t="s">
        <v>58</v>
      </c>
      <c r="C1318" s="9">
        <v>46136</v>
      </c>
      <c r="D1318" s="10">
        <v>12839</v>
      </c>
    </row>
    <row r="1319" spans="1:4">
      <c r="A1319" t="s">
        <v>4</v>
      </c>
      <c r="B1319" t="s">
        <v>153</v>
      </c>
      <c r="C1319" s="9">
        <v>46136</v>
      </c>
      <c r="D1319" s="10">
        <v>41790</v>
      </c>
    </row>
    <row r="1320" spans="1:4">
      <c r="A1320" t="s">
        <v>4</v>
      </c>
      <c r="B1320" t="s">
        <v>66</v>
      </c>
      <c r="C1320" s="9">
        <v>46136</v>
      </c>
      <c r="D1320" s="10">
        <v>31477</v>
      </c>
    </row>
    <row r="1321" spans="1:4">
      <c r="A1321" t="s">
        <v>4</v>
      </c>
      <c r="B1321" t="s">
        <v>72</v>
      </c>
      <c r="C1321" s="9">
        <v>46136</v>
      </c>
      <c r="D1321" s="10">
        <v>27306</v>
      </c>
    </row>
    <row r="1322" spans="1:4">
      <c r="A1322" t="s">
        <v>4</v>
      </c>
      <c r="B1322" t="s">
        <v>119</v>
      </c>
      <c r="C1322" s="9">
        <v>46136</v>
      </c>
      <c r="D1322" s="10">
        <v>30364</v>
      </c>
    </row>
    <row r="1323" spans="1:4">
      <c r="A1323" t="s">
        <v>4</v>
      </c>
      <c r="B1323" t="s">
        <v>265</v>
      </c>
      <c r="C1323" s="9">
        <v>46136</v>
      </c>
      <c r="D1323" s="10">
        <v>30069</v>
      </c>
    </row>
    <row r="1324" spans="1:4">
      <c r="A1324" t="s">
        <v>28</v>
      </c>
      <c r="B1324" t="s">
        <v>215</v>
      </c>
      <c r="C1324" s="9">
        <v>46136</v>
      </c>
      <c r="D1324" s="10">
        <v>10341</v>
      </c>
    </row>
    <row r="1325" spans="1:4">
      <c r="A1325" t="s">
        <v>26</v>
      </c>
      <c r="B1325" t="s">
        <v>73</v>
      </c>
      <c r="C1325" s="9">
        <v>46136</v>
      </c>
      <c r="D1325" s="10">
        <v>27117</v>
      </c>
    </row>
    <row r="1326" spans="1:4">
      <c r="A1326" t="s">
        <v>30</v>
      </c>
      <c r="B1326" t="s">
        <v>261</v>
      </c>
      <c r="C1326" s="9">
        <v>46136</v>
      </c>
      <c r="D1326" s="10">
        <v>12371</v>
      </c>
    </row>
    <row r="1327" spans="1:4">
      <c r="A1327" t="s">
        <v>34</v>
      </c>
      <c r="B1327" t="s">
        <v>161</v>
      </c>
      <c r="C1327" s="9">
        <v>46136</v>
      </c>
      <c r="D1327" s="10">
        <v>12195</v>
      </c>
    </row>
    <row r="1328" spans="1:4">
      <c r="A1328" t="s">
        <v>6</v>
      </c>
      <c r="B1328" t="s">
        <v>242</v>
      </c>
      <c r="C1328" s="9">
        <v>46136</v>
      </c>
      <c r="D1328" s="10">
        <v>17333</v>
      </c>
    </row>
    <row r="1329" spans="1:4">
      <c r="A1329" t="s">
        <v>7</v>
      </c>
      <c r="B1329" t="s">
        <v>174</v>
      </c>
      <c r="C1329" s="9">
        <v>46136</v>
      </c>
      <c r="D1329" s="10">
        <v>32496</v>
      </c>
    </row>
    <row r="1330" spans="1:4">
      <c r="A1330" t="s">
        <v>9</v>
      </c>
      <c r="B1330" t="s">
        <v>197</v>
      </c>
      <c r="C1330" s="9">
        <v>46136</v>
      </c>
      <c r="D1330" s="10">
        <v>43714</v>
      </c>
    </row>
    <row r="1331" spans="1:4">
      <c r="A1331" t="s">
        <v>5</v>
      </c>
      <c r="B1331" t="s">
        <v>94</v>
      </c>
      <c r="C1331" s="9">
        <v>46136</v>
      </c>
      <c r="D1331" s="10">
        <v>45241</v>
      </c>
    </row>
    <row r="1332" spans="1:4">
      <c r="A1332" t="s">
        <v>5</v>
      </c>
      <c r="B1332" t="s">
        <v>175</v>
      </c>
      <c r="C1332" s="9">
        <v>46136</v>
      </c>
      <c r="D1332" s="10">
        <v>39770</v>
      </c>
    </row>
    <row r="1333" spans="1:4">
      <c r="A1333" t="s">
        <v>5</v>
      </c>
      <c r="B1333" t="s">
        <v>122</v>
      </c>
      <c r="C1333" s="9">
        <v>46136</v>
      </c>
      <c r="D1333" s="10">
        <v>33326</v>
      </c>
    </row>
    <row r="1334" spans="1:4">
      <c r="A1334" t="s">
        <v>5</v>
      </c>
      <c r="B1334" t="s">
        <v>110</v>
      </c>
      <c r="C1334" s="9">
        <v>46136</v>
      </c>
      <c r="D1334" s="10">
        <v>38104</v>
      </c>
    </row>
    <row r="1335" spans="1:4">
      <c r="A1335" t="s">
        <v>5</v>
      </c>
      <c r="B1335" t="s">
        <v>258</v>
      </c>
      <c r="C1335" s="9">
        <v>46136</v>
      </c>
      <c r="D1335" s="10">
        <v>34263</v>
      </c>
    </row>
    <row r="1336" spans="1:4">
      <c r="A1336" t="s">
        <v>4</v>
      </c>
      <c r="B1336" t="s">
        <v>188</v>
      </c>
      <c r="C1336" s="9">
        <v>46137</v>
      </c>
      <c r="D1336" s="10">
        <v>23267</v>
      </c>
    </row>
    <row r="1337" spans="1:4">
      <c r="A1337" t="s">
        <v>25</v>
      </c>
      <c r="B1337" t="s">
        <v>86</v>
      </c>
      <c r="C1337" s="9">
        <v>46137</v>
      </c>
      <c r="D1337" s="10">
        <v>15295</v>
      </c>
    </row>
    <row r="1338" spans="1:4">
      <c r="A1338" t="s">
        <v>8</v>
      </c>
      <c r="B1338" t="s">
        <v>87</v>
      </c>
      <c r="C1338" s="9">
        <v>46137</v>
      </c>
      <c r="D1338" s="10">
        <v>26123</v>
      </c>
    </row>
    <row r="1339" spans="1:4">
      <c r="A1339" t="s">
        <v>8</v>
      </c>
      <c r="B1339" t="s">
        <v>160</v>
      </c>
      <c r="C1339" s="9">
        <v>46137</v>
      </c>
      <c r="D1339" s="10">
        <v>18043</v>
      </c>
    </row>
    <row r="1340" spans="1:4">
      <c r="A1340" t="s">
        <v>8</v>
      </c>
      <c r="B1340" t="s">
        <v>253</v>
      </c>
      <c r="C1340" s="9">
        <v>46137</v>
      </c>
      <c r="D1340" s="10">
        <v>18213</v>
      </c>
    </row>
    <row r="1341" spans="1:4">
      <c r="A1341" t="s">
        <v>9</v>
      </c>
      <c r="B1341" t="s">
        <v>75</v>
      </c>
      <c r="C1341" s="9">
        <v>46137</v>
      </c>
      <c r="D1341" s="10">
        <v>22064</v>
      </c>
    </row>
    <row r="1342" spans="1:4">
      <c r="A1342" t="s">
        <v>9</v>
      </c>
      <c r="B1342" t="s">
        <v>191</v>
      </c>
      <c r="C1342" s="9">
        <v>46137</v>
      </c>
      <c r="D1342" s="10">
        <v>33745</v>
      </c>
    </row>
    <row r="1343" spans="1:4">
      <c r="A1343" t="s">
        <v>9</v>
      </c>
      <c r="B1343" t="s">
        <v>132</v>
      </c>
      <c r="C1343" s="9">
        <v>46137</v>
      </c>
      <c r="D1343" s="10">
        <v>27062</v>
      </c>
    </row>
    <row r="1344" spans="1:4">
      <c r="A1344" t="s">
        <v>5</v>
      </c>
      <c r="B1344" t="s">
        <v>258</v>
      </c>
      <c r="C1344" s="9">
        <v>46137</v>
      </c>
      <c r="D1344" s="10">
        <v>49529</v>
      </c>
    </row>
    <row r="1345" spans="1:4">
      <c r="A1345" t="s">
        <v>27</v>
      </c>
      <c r="B1345" t="s">
        <v>103</v>
      </c>
      <c r="C1345" s="9">
        <v>46138</v>
      </c>
      <c r="D1345" s="10">
        <v>13505</v>
      </c>
    </row>
    <row r="1346" spans="1:4">
      <c r="A1346" t="s">
        <v>25</v>
      </c>
      <c r="B1346" t="s">
        <v>201</v>
      </c>
      <c r="C1346" s="9">
        <v>46138</v>
      </c>
      <c r="D1346" s="10">
        <v>13721</v>
      </c>
    </row>
    <row r="1347" spans="1:4">
      <c r="A1347" t="s">
        <v>25</v>
      </c>
      <c r="B1347" t="s">
        <v>257</v>
      </c>
      <c r="C1347" s="9">
        <v>46138</v>
      </c>
      <c r="D1347" s="10">
        <v>37180</v>
      </c>
    </row>
    <row r="1348" spans="1:4">
      <c r="A1348" t="s">
        <v>28</v>
      </c>
      <c r="B1348" t="s">
        <v>229</v>
      </c>
      <c r="C1348" s="9">
        <v>46138</v>
      </c>
      <c r="D1348" s="10">
        <v>23048</v>
      </c>
    </row>
    <row r="1349" spans="1:4">
      <c r="A1349" t="s">
        <v>36</v>
      </c>
      <c r="B1349" t="s">
        <v>287</v>
      </c>
      <c r="C1349" s="9">
        <v>46138</v>
      </c>
      <c r="D1349" s="10">
        <v>11193</v>
      </c>
    </row>
    <row r="1350" spans="1:4">
      <c r="A1350" t="s">
        <v>30</v>
      </c>
      <c r="B1350" t="s">
        <v>195</v>
      </c>
      <c r="C1350" s="9">
        <v>46138</v>
      </c>
      <c r="D1350" s="10">
        <v>13137</v>
      </c>
    </row>
    <row r="1351" spans="1:4">
      <c r="A1351" t="s">
        <v>8</v>
      </c>
      <c r="B1351" t="s">
        <v>120</v>
      </c>
      <c r="C1351" s="9">
        <v>46138</v>
      </c>
      <c r="D1351" s="10">
        <v>14317</v>
      </c>
    </row>
    <row r="1352" spans="1:4">
      <c r="A1352" t="s">
        <v>6</v>
      </c>
      <c r="B1352" t="s">
        <v>159</v>
      </c>
      <c r="C1352" s="9">
        <v>46138</v>
      </c>
      <c r="D1352" s="10">
        <v>15240</v>
      </c>
    </row>
    <row r="1353" spans="1:4">
      <c r="A1353" t="s">
        <v>6</v>
      </c>
      <c r="B1353" t="s">
        <v>249</v>
      </c>
      <c r="C1353" s="9">
        <v>46138</v>
      </c>
      <c r="D1353" s="10">
        <v>24208</v>
      </c>
    </row>
    <row r="1354" spans="1:4">
      <c r="A1354" t="s">
        <v>7</v>
      </c>
      <c r="B1354" t="s">
        <v>282</v>
      </c>
      <c r="C1354" s="9">
        <v>46138</v>
      </c>
      <c r="D1354" s="10">
        <v>24060</v>
      </c>
    </row>
    <row r="1355" spans="1:4">
      <c r="A1355" t="s">
        <v>9</v>
      </c>
      <c r="B1355" t="s">
        <v>211</v>
      </c>
      <c r="C1355" s="9">
        <v>46138</v>
      </c>
      <c r="D1355" s="10">
        <v>41069</v>
      </c>
    </row>
    <row r="1356" spans="1:4">
      <c r="A1356" t="s">
        <v>9</v>
      </c>
      <c r="B1356" t="s">
        <v>106</v>
      </c>
      <c r="C1356" s="9">
        <v>46138</v>
      </c>
      <c r="D1356" s="10">
        <v>31535</v>
      </c>
    </row>
    <row r="1357" spans="1:4">
      <c r="A1357" t="s">
        <v>9</v>
      </c>
      <c r="B1357" t="s">
        <v>166</v>
      </c>
      <c r="C1357" s="9">
        <v>46138</v>
      </c>
      <c r="D1357" s="10">
        <v>27611</v>
      </c>
    </row>
    <row r="1358" spans="1:4">
      <c r="A1358" t="s">
        <v>5</v>
      </c>
      <c r="B1358" t="s">
        <v>75</v>
      </c>
      <c r="C1358" s="9">
        <v>46138</v>
      </c>
      <c r="D1358" s="10">
        <v>23539</v>
      </c>
    </row>
    <row r="1359" spans="1:4">
      <c r="A1359" t="s">
        <v>5</v>
      </c>
      <c r="B1359" t="s">
        <v>230</v>
      </c>
      <c r="C1359" s="9">
        <v>46138</v>
      </c>
      <c r="D1359" s="10">
        <v>42884</v>
      </c>
    </row>
    <row r="1360" spans="1:4">
      <c r="A1360" t="s">
        <v>5</v>
      </c>
      <c r="B1360" t="s">
        <v>79</v>
      </c>
      <c r="C1360" s="9">
        <v>46138</v>
      </c>
      <c r="D1360" s="10">
        <v>34947</v>
      </c>
    </row>
    <row r="1361" spans="1:4">
      <c r="A1361" t="s">
        <v>4</v>
      </c>
      <c r="B1361" t="s">
        <v>124</v>
      </c>
      <c r="C1361" s="9">
        <v>46139</v>
      </c>
      <c r="D1361" s="10">
        <v>35631</v>
      </c>
    </row>
    <row r="1362" spans="1:4">
      <c r="A1362" t="s">
        <v>26</v>
      </c>
      <c r="B1362" t="s">
        <v>252</v>
      </c>
      <c r="C1362" s="9">
        <v>46139</v>
      </c>
      <c r="D1362" s="10">
        <v>17667</v>
      </c>
    </row>
    <row r="1363" spans="1:4">
      <c r="A1363" t="s">
        <v>7</v>
      </c>
      <c r="B1363" t="s">
        <v>128</v>
      </c>
      <c r="C1363" s="9">
        <v>46139</v>
      </c>
      <c r="D1363" s="10">
        <v>30132</v>
      </c>
    </row>
    <row r="1364" spans="1:4">
      <c r="A1364" t="s">
        <v>9</v>
      </c>
      <c r="B1364" t="s">
        <v>115</v>
      </c>
      <c r="C1364" s="9">
        <v>46139</v>
      </c>
      <c r="D1364" s="10">
        <v>27886</v>
      </c>
    </row>
    <row r="1365" spans="1:4">
      <c r="A1365" t="s">
        <v>9</v>
      </c>
      <c r="B1365" t="s">
        <v>92</v>
      </c>
      <c r="C1365" s="9">
        <v>46139</v>
      </c>
      <c r="D1365" s="10">
        <v>41748</v>
      </c>
    </row>
    <row r="1366" spans="1:4">
      <c r="A1366" t="s">
        <v>9</v>
      </c>
      <c r="B1366" t="s">
        <v>276</v>
      </c>
      <c r="C1366" s="9">
        <v>46139</v>
      </c>
      <c r="D1366" s="10">
        <v>34823</v>
      </c>
    </row>
    <row r="1367" spans="1:4">
      <c r="A1367" t="s">
        <v>9</v>
      </c>
      <c r="B1367" t="s">
        <v>191</v>
      </c>
      <c r="C1367" s="9">
        <v>46139</v>
      </c>
      <c r="D1367" s="10">
        <v>33557</v>
      </c>
    </row>
    <row r="1368" spans="1:4">
      <c r="A1368" t="s">
        <v>5</v>
      </c>
      <c r="B1368" t="s">
        <v>66</v>
      </c>
      <c r="C1368" s="9">
        <v>46139</v>
      </c>
      <c r="D1368" s="10">
        <v>34875</v>
      </c>
    </row>
    <row r="1369" spans="1:4">
      <c r="A1369" t="s">
        <v>5</v>
      </c>
      <c r="B1369" t="s">
        <v>135</v>
      </c>
      <c r="C1369" s="9">
        <v>46139</v>
      </c>
      <c r="D1369" s="10">
        <v>37915</v>
      </c>
    </row>
    <row r="1370" spans="1:4">
      <c r="A1370" t="s">
        <v>5</v>
      </c>
      <c r="B1370" t="s">
        <v>142</v>
      </c>
      <c r="C1370" s="9">
        <v>46139</v>
      </c>
      <c r="D1370" s="10">
        <v>29669</v>
      </c>
    </row>
    <row r="1371" spans="1:4">
      <c r="A1371" t="s">
        <v>5</v>
      </c>
      <c r="B1371" t="s">
        <v>108</v>
      </c>
      <c r="C1371" s="9">
        <v>46139</v>
      </c>
      <c r="D1371" s="10">
        <v>45807</v>
      </c>
    </row>
    <row r="1372" spans="1:4">
      <c r="A1372" t="s">
        <v>5</v>
      </c>
      <c r="B1372" t="s">
        <v>69</v>
      </c>
      <c r="C1372" s="9">
        <v>46139</v>
      </c>
      <c r="D1372" s="10">
        <v>35580</v>
      </c>
    </row>
    <row r="1373" spans="1:4">
      <c r="A1373" t="s">
        <v>27</v>
      </c>
      <c r="B1373" t="s">
        <v>185</v>
      </c>
      <c r="C1373" s="9">
        <v>46140</v>
      </c>
      <c r="D1373" s="10">
        <v>13755</v>
      </c>
    </row>
    <row r="1374" spans="1:4">
      <c r="A1374" t="s">
        <v>4</v>
      </c>
      <c r="B1374" t="s">
        <v>214</v>
      </c>
      <c r="C1374" s="9">
        <v>46140</v>
      </c>
      <c r="D1374" s="10">
        <v>30370</v>
      </c>
    </row>
    <row r="1375" spans="1:4">
      <c r="A1375" t="s">
        <v>4</v>
      </c>
      <c r="B1375" t="s">
        <v>76</v>
      </c>
      <c r="C1375" s="9">
        <v>46140</v>
      </c>
      <c r="D1375" s="10">
        <v>31147</v>
      </c>
    </row>
    <row r="1376" spans="1:4">
      <c r="A1376" t="s">
        <v>32</v>
      </c>
      <c r="B1376" t="s">
        <v>288</v>
      </c>
      <c r="C1376" s="9">
        <v>46140</v>
      </c>
      <c r="D1376" s="10">
        <v>13176</v>
      </c>
    </row>
    <row r="1377" spans="1:4">
      <c r="A1377" t="s">
        <v>9</v>
      </c>
      <c r="B1377" t="s">
        <v>179</v>
      </c>
      <c r="C1377" s="9">
        <v>46140</v>
      </c>
      <c r="D1377" s="10">
        <v>16441</v>
      </c>
    </row>
    <row r="1378" spans="1:4">
      <c r="A1378" t="s">
        <v>5</v>
      </c>
      <c r="B1378" t="s">
        <v>67</v>
      </c>
      <c r="C1378" s="9">
        <v>46140</v>
      </c>
      <c r="D1378" s="10">
        <v>41107</v>
      </c>
    </row>
    <row r="1379" spans="1:4">
      <c r="A1379" t="s">
        <v>5</v>
      </c>
      <c r="B1379" t="s">
        <v>187</v>
      </c>
      <c r="C1379" s="9">
        <v>46140</v>
      </c>
      <c r="D1379" s="10">
        <v>47297</v>
      </c>
    </row>
    <row r="1380" spans="1:4">
      <c r="A1380" t="s">
        <v>5</v>
      </c>
      <c r="B1380" t="s">
        <v>78</v>
      </c>
      <c r="C1380" s="9">
        <v>46140</v>
      </c>
      <c r="D1380" s="10">
        <v>40364</v>
      </c>
    </row>
    <row r="1381" spans="1:4">
      <c r="A1381" t="s">
        <v>5</v>
      </c>
      <c r="B1381" t="s">
        <v>199</v>
      </c>
      <c r="C1381" s="9">
        <v>46140</v>
      </c>
      <c r="D1381" s="10">
        <v>38265</v>
      </c>
    </row>
    <row r="1382" spans="1:4">
      <c r="A1382" t="s">
        <v>5</v>
      </c>
      <c r="B1382" t="s">
        <v>177</v>
      </c>
      <c r="C1382" s="9">
        <v>46140</v>
      </c>
      <c r="D1382" s="10">
        <v>60280</v>
      </c>
    </row>
    <row r="1383" spans="1:4">
      <c r="A1383" t="s">
        <v>4</v>
      </c>
      <c r="B1383" t="s">
        <v>154</v>
      </c>
      <c r="C1383" s="9">
        <v>46141</v>
      </c>
      <c r="D1383" s="10">
        <v>25247</v>
      </c>
    </row>
    <row r="1384" spans="1:4">
      <c r="A1384" t="s">
        <v>9</v>
      </c>
      <c r="B1384" t="s">
        <v>224</v>
      </c>
      <c r="C1384" s="9">
        <v>46141</v>
      </c>
      <c r="D1384" s="10">
        <v>48759</v>
      </c>
    </row>
    <row r="1385" spans="1:4">
      <c r="A1385" t="s">
        <v>9</v>
      </c>
      <c r="B1385" t="s">
        <v>205</v>
      </c>
      <c r="C1385" s="9">
        <v>46141</v>
      </c>
      <c r="D1385" s="10">
        <v>22304</v>
      </c>
    </row>
    <row r="1386" spans="1:4">
      <c r="A1386" t="s">
        <v>9</v>
      </c>
      <c r="B1386" t="s">
        <v>191</v>
      </c>
      <c r="C1386" s="9">
        <v>46141</v>
      </c>
      <c r="D1386" s="10">
        <v>39812</v>
      </c>
    </row>
    <row r="1387" spans="1:4">
      <c r="A1387" t="s">
        <v>9</v>
      </c>
      <c r="B1387" t="s">
        <v>76</v>
      </c>
      <c r="C1387" s="9">
        <v>46141</v>
      </c>
      <c r="D1387" s="10">
        <v>32968</v>
      </c>
    </row>
    <row r="1388" spans="1:4">
      <c r="A1388" t="s">
        <v>9</v>
      </c>
      <c r="B1388" t="s">
        <v>133</v>
      </c>
      <c r="C1388" s="9">
        <v>46141</v>
      </c>
      <c r="D1388" s="10">
        <v>15856</v>
      </c>
    </row>
    <row r="1389" spans="1:4">
      <c r="A1389" t="s">
        <v>9</v>
      </c>
      <c r="B1389" t="s">
        <v>223</v>
      </c>
      <c r="C1389" s="9">
        <v>46141</v>
      </c>
      <c r="D1389" s="10">
        <v>13088</v>
      </c>
    </row>
    <row r="1390" spans="1:4">
      <c r="A1390" t="s">
        <v>5</v>
      </c>
      <c r="B1390" t="s">
        <v>79</v>
      </c>
      <c r="C1390" s="9">
        <v>46141</v>
      </c>
      <c r="D1390" s="10">
        <v>29369</v>
      </c>
    </row>
    <row r="1391" spans="1:4">
      <c r="A1391" t="s">
        <v>27</v>
      </c>
      <c r="B1391" t="s">
        <v>96</v>
      </c>
      <c r="C1391" s="9">
        <v>46142</v>
      </c>
      <c r="D1391" s="10">
        <v>8947</v>
      </c>
    </row>
    <row r="1392" spans="1:4">
      <c r="A1392" t="s">
        <v>4</v>
      </c>
      <c r="B1392" t="s">
        <v>239</v>
      </c>
      <c r="C1392" s="9">
        <v>46142</v>
      </c>
      <c r="D1392" s="10">
        <v>12082</v>
      </c>
    </row>
    <row r="1393" spans="1:4">
      <c r="A1393" t="s">
        <v>8</v>
      </c>
      <c r="B1393" t="s">
        <v>183</v>
      </c>
      <c r="C1393" s="9">
        <v>46142</v>
      </c>
      <c r="D1393" s="10">
        <v>16765</v>
      </c>
    </row>
    <row r="1394" spans="1:4">
      <c r="A1394" t="s">
        <v>29</v>
      </c>
      <c r="B1394" t="s">
        <v>275</v>
      </c>
      <c r="C1394" s="9">
        <v>46142</v>
      </c>
      <c r="D1394" s="10">
        <v>15909</v>
      </c>
    </row>
    <row r="1395" spans="1:4">
      <c r="A1395" t="s">
        <v>7</v>
      </c>
      <c r="B1395" t="s">
        <v>150</v>
      </c>
      <c r="C1395" s="9">
        <v>46142</v>
      </c>
      <c r="D1395" s="10">
        <v>21293</v>
      </c>
    </row>
    <row r="1396" spans="1:4">
      <c r="A1396" t="s">
        <v>7</v>
      </c>
      <c r="B1396" t="s">
        <v>219</v>
      </c>
      <c r="C1396" s="9">
        <v>46142</v>
      </c>
      <c r="D1396" s="10">
        <v>41604</v>
      </c>
    </row>
    <row r="1397" spans="1:4">
      <c r="A1397" t="s">
        <v>7</v>
      </c>
      <c r="B1397" t="s">
        <v>221</v>
      </c>
      <c r="C1397" s="9">
        <v>46142</v>
      </c>
      <c r="D1397" s="10">
        <v>46356</v>
      </c>
    </row>
    <row r="1398" spans="1:4">
      <c r="A1398" t="s">
        <v>9</v>
      </c>
      <c r="B1398" t="s">
        <v>131</v>
      </c>
      <c r="C1398" s="9">
        <v>46142</v>
      </c>
      <c r="D1398" s="10">
        <v>31839</v>
      </c>
    </row>
    <row r="1399" spans="1:4">
      <c r="A1399" t="s">
        <v>9</v>
      </c>
      <c r="B1399" t="s">
        <v>132</v>
      </c>
      <c r="C1399" s="9">
        <v>46142</v>
      </c>
      <c r="D1399" s="10">
        <v>32766</v>
      </c>
    </row>
    <row r="1400" spans="1:4">
      <c r="A1400" t="s">
        <v>5</v>
      </c>
      <c r="B1400" t="s">
        <v>134</v>
      </c>
      <c r="C1400" s="9">
        <v>46142</v>
      </c>
      <c r="D1400" s="10">
        <v>32406</v>
      </c>
    </row>
    <row r="1401" spans="1:4">
      <c r="A1401" t="s">
        <v>5</v>
      </c>
      <c r="B1401" t="s">
        <v>93</v>
      </c>
      <c r="C1401" s="9">
        <v>46142</v>
      </c>
      <c r="D1401" s="10">
        <v>33998</v>
      </c>
    </row>
    <row r="1402" spans="1:4">
      <c r="A1402" t="s">
        <v>5</v>
      </c>
      <c r="B1402" t="s">
        <v>95</v>
      </c>
      <c r="C1402" s="9">
        <v>46142</v>
      </c>
      <c r="D1402" s="10">
        <v>48330</v>
      </c>
    </row>
    <row r="1403" spans="1:4">
      <c r="A1403" t="s">
        <v>5</v>
      </c>
      <c r="B1403" t="s">
        <v>143</v>
      </c>
      <c r="C1403" s="9">
        <v>46142</v>
      </c>
      <c r="D1403" s="10">
        <v>43836</v>
      </c>
    </row>
    <row r="1404" spans="1:4">
      <c r="A1404" t="s">
        <v>5</v>
      </c>
      <c r="B1404" t="s">
        <v>79</v>
      </c>
      <c r="C1404" s="9">
        <v>46142</v>
      </c>
      <c r="D1404" s="10">
        <v>32698</v>
      </c>
    </row>
    <row r="1405" spans="1:4">
      <c r="A1405" t="s">
        <v>5</v>
      </c>
      <c r="B1405" t="s">
        <v>210</v>
      </c>
      <c r="C1405" s="9">
        <v>46142</v>
      </c>
      <c r="D1405" s="10">
        <v>43882</v>
      </c>
    </row>
    <row r="1406" spans="1:4">
      <c r="A1406" t="s">
        <v>27</v>
      </c>
      <c r="B1406" t="s">
        <v>185</v>
      </c>
      <c r="C1406" s="9">
        <v>46143</v>
      </c>
      <c r="D1406" s="10">
        <v>13227</v>
      </c>
    </row>
    <row r="1407" spans="1:4">
      <c r="A1407" t="s">
        <v>33</v>
      </c>
      <c r="B1407" t="s">
        <v>244</v>
      </c>
      <c r="C1407" s="9">
        <v>46143</v>
      </c>
      <c r="D1407" s="10">
        <v>10048</v>
      </c>
    </row>
    <row r="1408" spans="1:4">
      <c r="A1408" t="s">
        <v>9</v>
      </c>
      <c r="B1408" t="s">
        <v>106</v>
      </c>
      <c r="C1408" s="9">
        <v>46143</v>
      </c>
      <c r="D1408" s="10">
        <v>26631</v>
      </c>
    </row>
    <row r="1409" spans="1:4">
      <c r="A1409" t="s">
        <v>9</v>
      </c>
      <c r="B1409" t="s">
        <v>91</v>
      </c>
      <c r="C1409" s="9">
        <v>46143</v>
      </c>
      <c r="D1409" s="10">
        <v>44685</v>
      </c>
    </row>
    <row r="1410" spans="1:4">
      <c r="A1410" t="s">
        <v>9</v>
      </c>
      <c r="B1410" t="s">
        <v>206</v>
      </c>
      <c r="C1410" s="9">
        <v>46143</v>
      </c>
      <c r="D1410" s="10">
        <v>25586</v>
      </c>
    </row>
    <row r="1411" spans="1:4">
      <c r="A1411" t="s">
        <v>9</v>
      </c>
      <c r="B1411" t="s">
        <v>132</v>
      </c>
      <c r="C1411" s="9">
        <v>46143</v>
      </c>
      <c r="D1411" s="10">
        <v>25877</v>
      </c>
    </row>
    <row r="1412" spans="1:4">
      <c r="A1412" t="s">
        <v>5</v>
      </c>
      <c r="B1412" t="s">
        <v>276</v>
      </c>
      <c r="C1412" s="9">
        <v>46143</v>
      </c>
      <c r="D1412" s="10">
        <v>19065</v>
      </c>
    </row>
    <row r="1413" spans="1:4">
      <c r="A1413" t="s">
        <v>5</v>
      </c>
      <c r="B1413" t="s">
        <v>168</v>
      </c>
      <c r="C1413" s="9">
        <v>46143</v>
      </c>
      <c r="D1413" s="10">
        <v>39626</v>
      </c>
    </row>
    <row r="1414" spans="1:4">
      <c r="A1414" t="s">
        <v>5</v>
      </c>
      <c r="B1414" t="s">
        <v>178</v>
      </c>
      <c r="C1414" s="9">
        <v>46143</v>
      </c>
      <c r="D1414" s="10">
        <v>41874</v>
      </c>
    </row>
    <row r="1415" spans="1:4">
      <c r="A1415" t="s">
        <v>27</v>
      </c>
      <c r="B1415" t="s">
        <v>144</v>
      </c>
      <c r="C1415" s="9">
        <v>46144</v>
      </c>
      <c r="D1415" s="10">
        <v>17878</v>
      </c>
    </row>
    <row r="1416" spans="1:4">
      <c r="A1416" t="s">
        <v>6</v>
      </c>
      <c r="B1416" t="s">
        <v>257</v>
      </c>
      <c r="C1416" s="9">
        <v>46144</v>
      </c>
      <c r="D1416" s="10">
        <v>15829</v>
      </c>
    </row>
    <row r="1417" spans="1:4">
      <c r="A1417" t="s">
        <v>7</v>
      </c>
      <c r="B1417" t="s">
        <v>61</v>
      </c>
      <c r="C1417" s="9">
        <v>46144</v>
      </c>
      <c r="D1417" s="10">
        <v>23910</v>
      </c>
    </row>
    <row r="1418" spans="1:4">
      <c r="A1418" t="s">
        <v>7</v>
      </c>
      <c r="B1418" t="s">
        <v>267</v>
      </c>
      <c r="C1418" s="9">
        <v>46144</v>
      </c>
      <c r="D1418" s="10">
        <v>28108</v>
      </c>
    </row>
    <row r="1419" spans="1:4">
      <c r="A1419" t="s">
        <v>9</v>
      </c>
      <c r="B1419" t="s">
        <v>141</v>
      </c>
      <c r="C1419" s="9">
        <v>46144</v>
      </c>
      <c r="D1419" s="10">
        <v>50397</v>
      </c>
    </row>
    <row r="1420" spans="1:4">
      <c r="A1420" t="s">
        <v>9</v>
      </c>
      <c r="B1420" t="s">
        <v>223</v>
      </c>
      <c r="C1420" s="9">
        <v>46144</v>
      </c>
      <c r="D1420" s="10">
        <v>54792</v>
      </c>
    </row>
    <row r="1421" spans="1:4">
      <c r="A1421" t="s">
        <v>9</v>
      </c>
      <c r="B1421" t="s">
        <v>197</v>
      </c>
      <c r="C1421" s="9">
        <v>46144</v>
      </c>
      <c r="D1421" s="10">
        <v>37136</v>
      </c>
    </row>
    <row r="1422" spans="1:4">
      <c r="A1422" t="s">
        <v>5</v>
      </c>
      <c r="B1422" t="s">
        <v>66</v>
      </c>
      <c r="C1422" s="9">
        <v>46144</v>
      </c>
      <c r="D1422" s="10">
        <v>34911</v>
      </c>
    </row>
    <row r="1423" spans="1:4">
      <c r="A1423" t="s">
        <v>5</v>
      </c>
      <c r="B1423" t="s">
        <v>67</v>
      </c>
      <c r="C1423" s="9">
        <v>46144</v>
      </c>
      <c r="D1423" s="10">
        <v>54222</v>
      </c>
    </row>
    <row r="1424" spans="1:4">
      <c r="A1424" t="s">
        <v>5</v>
      </c>
      <c r="B1424" t="s">
        <v>93</v>
      </c>
      <c r="C1424" s="9">
        <v>46144</v>
      </c>
      <c r="D1424" s="10">
        <v>36712</v>
      </c>
    </row>
    <row r="1425" spans="1:4">
      <c r="A1425" t="s">
        <v>5</v>
      </c>
      <c r="B1425" t="s">
        <v>78</v>
      </c>
      <c r="C1425" s="9">
        <v>46144</v>
      </c>
      <c r="D1425" s="10">
        <v>39725</v>
      </c>
    </row>
    <row r="1426" spans="1:4">
      <c r="A1426" t="s">
        <v>5</v>
      </c>
      <c r="B1426" t="s">
        <v>142</v>
      </c>
      <c r="C1426" s="9">
        <v>46144</v>
      </c>
      <c r="D1426" s="10">
        <v>31767</v>
      </c>
    </row>
    <row r="1427" spans="1:4">
      <c r="A1427" t="s">
        <v>5</v>
      </c>
      <c r="B1427" t="s">
        <v>169</v>
      </c>
      <c r="C1427" s="9">
        <v>46144</v>
      </c>
      <c r="D1427" s="10">
        <v>34096</v>
      </c>
    </row>
    <row r="1428" spans="1:4">
      <c r="A1428" t="s">
        <v>4</v>
      </c>
      <c r="B1428" t="s">
        <v>231</v>
      </c>
      <c r="C1428" s="9">
        <v>46145</v>
      </c>
      <c r="D1428" s="10">
        <v>30576</v>
      </c>
    </row>
    <row r="1429" spans="1:4">
      <c r="A1429" t="s">
        <v>26</v>
      </c>
      <c r="B1429" t="s">
        <v>217</v>
      </c>
      <c r="C1429" s="9">
        <v>46145</v>
      </c>
      <c r="D1429" s="10">
        <v>14821</v>
      </c>
    </row>
    <row r="1430" spans="1:4">
      <c r="A1430" t="s">
        <v>7</v>
      </c>
      <c r="B1430" t="s">
        <v>282</v>
      </c>
      <c r="C1430" s="9">
        <v>46145</v>
      </c>
      <c r="D1430" s="10">
        <v>23949</v>
      </c>
    </row>
    <row r="1431" spans="1:4">
      <c r="A1431" t="s">
        <v>7</v>
      </c>
      <c r="B1431" t="s">
        <v>241</v>
      </c>
      <c r="C1431" s="9">
        <v>46145</v>
      </c>
      <c r="D1431" s="10">
        <v>16151</v>
      </c>
    </row>
    <row r="1432" spans="1:4">
      <c r="A1432" t="s">
        <v>9</v>
      </c>
      <c r="B1432" t="s">
        <v>178</v>
      </c>
      <c r="C1432" s="9">
        <v>46145</v>
      </c>
      <c r="D1432" s="10">
        <v>44018</v>
      </c>
    </row>
    <row r="1433" spans="1:4">
      <c r="A1433" t="s">
        <v>5</v>
      </c>
      <c r="B1433" t="s">
        <v>136</v>
      </c>
      <c r="C1433" s="9">
        <v>46145</v>
      </c>
      <c r="D1433" s="10">
        <v>43117</v>
      </c>
    </row>
    <row r="1434" spans="1:4">
      <c r="A1434" t="s">
        <v>5</v>
      </c>
      <c r="B1434" t="s">
        <v>110</v>
      </c>
      <c r="C1434" s="9">
        <v>46145</v>
      </c>
      <c r="D1434" s="10">
        <v>37048</v>
      </c>
    </row>
    <row r="1435" spans="1:4">
      <c r="A1435" t="s">
        <v>5</v>
      </c>
      <c r="B1435" t="s">
        <v>110</v>
      </c>
      <c r="C1435" s="9">
        <v>46145</v>
      </c>
      <c r="D1435" s="10">
        <v>41232</v>
      </c>
    </row>
    <row r="1436" spans="1:4">
      <c r="A1436" t="s">
        <v>27</v>
      </c>
      <c r="B1436" t="s">
        <v>212</v>
      </c>
      <c r="C1436" s="9">
        <v>46146</v>
      </c>
      <c r="D1436" s="10">
        <v>22868</v>
      </c>
    </row>
    <row r="1437" spans="1:4">
      <c r="A1437" t="s">
        <v>4</v>
      </c>
      <c r="B1437" t="s">
        <v>193</v>
      </c>
      <c r="C1437" s="9">
        <v>46146</v>
      </c>
      <c r="D1437" s="10">
        <v>9769</v>
      </c>
    </row>
    <row r="1438" spans="1:4">
      <c r="A1438" t="s">
        <v>6</v>
      </c>
      <c r="B1438" t="s">
        <v>243</v>
      </c>
      <c r="C1438" s="9">
        <v>46146</v>
      </c>
      <c r="D1438" s="10">
        <v>21282</v>
      </c>
    </row>
    <row r="1439" spans="1:4">
      <c r="A1439" t="s">
        <v>7</v>
      </c>
      <c r="B1439" t="s">
        <v>221</v>
      </c>
      <c r="C1439" s="9">
        <v>46146</v>
      </c>
      <c r="D1439" s="10">
        <v>16730</v>
      </c>
    </row>
    <row r="1440" spans="1:4">
      <c r="A1440" t="s">
        <v>9</v>
      </c>
      <c r="B1440" t="s">
        <v>259</v>
      </c>
      <c r="C1440" s="9">
        <v>46146</v>
      </c>
      <c r="D1440" s="10">
        <v>37516</v>
      </c>
    </row>
    <row r="1441" spans="1:4">
      <c r="A1441" t="s">
        <v>9</v>
      </c>
      <c r="B1441" t="s">
        <v>206</v>
      </c>
      <c r="C1441" s="9">
        <v>46146</v>
      </c>
      <c r="D1441" s="10">
        <v>25660</v>
      </c>
    </row>
    <row r="1442" spans="1:4">
      <c r="A1442" t="s">
        <v>5</v>
      </c>
      <c r="B1442" t="s">
        <v>199</v>
      </c>
      <c r="C1442" s="9">
        <v>46146</v>
      </c>
      <c r="D1442" s="10">
        <v>40091</v>
      </c>
    </row>
    <row r="1443" spans="1:4">
      <c r="A1443" t="s">
        <v>5</v>
      </c>
      <c r="B1443" t="s">
        <v>210</v>
      </c>
      <c r="C1443" s="9">
        <v>46146</v>
      </c>
      <c r="D1443" s="10">
        <v>40277</v>
      </c>
    </row>
    <row r="1444" spans="1:4">
      <c r="A1444" t="s">
        <v>4</v>
      </c>
      <c r="B1444" t="s">
        <v>235</v>
      </c>
      <c r="C1444" s="9">
        <v>46147</v>
      </c>
      <c r="D1444" s="10">
        <v>27369</v>
      </c>
    </row>
    <row r="1445" spans="1:4">
      <c r="A1445" t="s">
        <v>4</v>
      </c>
      <c r="B1445" t="s">
        <v>146</v>
      </c>
      <c r="C1445" s="9">
        <v>46147</v>
      </c>
      <c r="D1445" s="10">
        <v>24232</v>
      </c>
    </row>
    <row r="1446" spans="1:4">
      <c r="A1446" t="s">
        <v>28</v>
      </c>
      <c r="B1446" t="s">
        <v>278</v>
      </c>
      <c r="C1446" s="9">
        <v>46147</v>
      </c>
      <c r="D1446" s="10">
        <v>5200</v>
      </c>
    </row>
    <row r="1447" spans="1:4">
      <c r="A1447" t="s">
        <v>28</v>
      </c>
      <c r="B1447" t="s">
        <v>215</v>
      </c>
      <c r="C1447" s="9">
        <v>46147</v>
      </c>
      <c r="D1447" s="10">
        <v>17529</v>
      </c>
    </row>
    <row r="1448" spans="1:4">
      <c r="A1448" t="s">
        <v>7</v>
      </c>
      <c r="B1448" t="s">
        <v>271</v>
      </c>
      <c r="C1448" s="9">
        <v>46147</v>
      </c>
      <c r="D1448" s="10">
        <v>26571</v>
      </c>
    </row>
    <row r="1449" spans="1:4">
      <c r="A1449" t="s">
        <v>9</v>
      </c>
      <c r="B1449" t="s">
        <v>81</v>
      </c>
      <c r="C1449" s="9">
        <v>46147</v>
      </c>
      <c r="D1449" s="10">
        <v>26487</v>
      </c>
    </row>
    <row r="1450" spans="1:4">
      <c r="A1450" t="s">
        <v>9</v>
      </c>
      <c r="B1450" t="s">
        <v>198</v>
      </c>
      <c r="C1450" s="9">
        <v>46147</v>
      </c>
      <c r="D1450" s="10">
        <v>31158</v>
      </c>
    </row>
    <row r="1451" spans="1:4">
      <c r="A1451" t="s">
        <v>5</v>
      </c>
      <c r="B1451" t="s">
        <v>141</v>
      </c>
      <c r="C1451" s="9">
        <v>46147</v>
      </c>
      <c r="D1451" s="10">
        <v>53583</v>
      </c>
    </row>
    <row r="1452" spans="1:4">
      <c r="A1452" t="s">
        <v>5</v>
      </c>
      <c r="B1452" t="s">
        <v>121</v>
      </c>
      <c r="C1452" s="9">
        <v>46147</v>
      </c>
      <c r="D1452" s="10">
        <v>51073</v>
      </c>
    </row>
    <row r="1453" spans="1:4">
      <c r="A1453" t="s">
        <v>5</v>
      </c>
      <c r="B1453" t="s">
        <v>75</v>
      </c>
      <c r="C1453" s="9">
        <v>46147</v>
      </c>
      <c r="D1453" s="10">
        <v>27341</v>
      </c>
    </row>
    <row r="1454" spans="1:4">
      <c r="A1454" t="s">
        <v>5</v>
      </c>
      <c r="B1454" t="s">
        <v>142</v>
      </c>
      <c r="C1454" s="9">
        <v>46147</v>
      </c>
      <c r="D1454" s="10">
        <v>21096</v>
      </c>
    </row>
    <row r="1455" spans="1:4">
      <c r="A1455" t="s">
        <v>5</v>
      </c>
      <c r="B1455" t="s">
        <v>108</v>
      </c>
      <c r="C1455" s="9">
        <v>46147</v>
      </c>
      <c r="D1455" s="10">
        <v>51015</v>
      </c>
    </row>
    <row r="1456" spans="1:4">
      <c r="A1456" t="s">
        <v>5</v>
      </c>
      <c r="B1456" t="s">
        <v>199</v>
      </c>
      <c r="C1456" s="9">
        <v>46147</v>
      </c>
      <c r="D1456" s="10">
        <v>34264</v>
      </c>
    </row>
    <row r="1457" spans="1:4">
      <c r="A1457" t="s">
        <v>5</v>
      </c>
      <c r="B1457" t="s">
        <v>177</v>
      </c>
      <c r="C1457" s="9">
        <v>46147</v>
      </c>
      <c r="D1457" s="10">
        <v>48336</v>
      </c>
    </row>
    <row r="1458" spans="1:4">
      <c r="A1458" t="s">
        <v>27</v>
      </c>
      <c r="B1458" t="s">
        <v>85</v>
      </c>
      <c r="C1458" s="9">
        <v>46148</v>
      </c>
      <c r="D1458" s="10">
        <v>14496</v>
      </c>
    </row>
    <row r="1459" spans="1:4">
      <c r="A1459" t="s">
        <v>4</v>
      </c>
      <c r="B1459" t="s">
        <v>207</v>
      </c>
      <c r="C1459" s="9">
        <v>46148</v>
      </c>
      <c r="D1459" s="10">
        <v>30912</v>
      </c>
    </row>
    <row r="1460" spans="1:4">
      <c r="A1460" t="s">
        <v>25</v>
      </c>
      <c r="B1460" t="s">
        <v>201</v>
      </c>
      <c r="C1460" s="9">
        <v>46148</v>
      </c>
      <c r="D1460" s="10">
        <v>14166</v>
      </c>
    </row>
    <row r="1461" spans="1:4">
      <c r="A1461" t="s">
        <v>30</v>
      </c>
      <c r="B1461" t="s">
        <v>138</v>
      </c>
      <c r="C1461" s="9">
        <v>46148</v>
      </c>
      <c r="D1461" s="10">
        <v>11429</v>
      </c>
    </row>
    <row r="1462" spans="1:4">
      <c r="A1462" t="s">
        <v>7</v>
      </c>
      <c r="B1462" t="s">
        <v>124</v>
      </c>
      <c r="C1462" s="9">
        <v>46148</v>
      </c>
      <c r="D1462" s="10">
        <v>35426</v>
      </c>
    </row>
    <row r="1463" spans="1:4">
      <c r="A1463" t="s">
        <v>9</v>
      </c>
      <c r="B1463" t="s">
        <v>92</v>
      </c>
      <c r="C1463" s="9">
        <v>46148</v>
      </c>
      <c r="D1463" s="10">
        <v>30114</v>
      </c>
    </row>
    <row r="1464" spans="1:4">
      <c r="A1464" t="s">
        <v>9</v>
      </c>
      <c r="B1464" t="s">
        <v>151</v>
      </c>
      <c r="C1464" s="9">
        <v>46148</v>
      </c>
      <c r="D1464" s="10">
        <v>34823</v>
      </c>
    </row>
    <row r="1465" spans="1:4">
      <c r="A1465" t="s">
        <v>9</v>
      </c>
      <c r="B1465" t="s">
        <v>192</v>
      </c>
      <c r="C1465" s="9">
        <v>46148</v>
      </c>
      <c r="D1465" s="10">
        <v>41160</v>
      </c>
    </row>
    <row r="1466" spans="1:4">
      <c r="A1466" t="s">
        <v>5</v>
      </c>
      <c r="B1466" t="s">
        <v>67</v>
      </c>
      <c r="C1466" s="9">
        <v>46148</v>
      </c>
      <c r="D1466" s="10">
        <v>40113</v>
      </c>
    </row>
    <row r="1467" spans="1:4">
      <c r="A1467" t="s">
        <v>5</v>
      </c>
      <c r="B1467" t="s">
        <v>117</v>
      </c>
      <c r="C1467" s="9">
        <v>46148</v>
      </c>
      <c r="D1467" s="10">
        <v>34025</v>
      </c>
    </row>
    <row r="1468" spans="1:4">
      <c r="A1468" t="s">
        <v>5</v>
      </c>
      <c r="B1468" t="s">
        <v>79</v>
      </c>
      <c r="C1468" s="9">
        <v>46148</v>
      </c>
      <c r="D1468" s="10">
        <v>35271</v>
      </c>
    </row>
    <row r="1469" spans="1:4">
      <c r="A1469" t="s">
        <v>5</v>
      </c>
      <c r="B1469" t="s">
        <v>210</v>
      </c>
      <c r="C1469" s="9">
        <v>46148</v>
      </c>
      <c r="D1469" s="10">
        <v>44298</v>
      </c>
    </row>
    <row r="1470" spans="1:4">
      <c r="A1470" t="s">
        <v>4</v>
      </c>
      <c r="B1470" t="s">
        <v>125</v>
      </c>
      <c r="C1470" s="9">
        <v>46149</v>
      </c>
      <c r="D1470" s="10">
        <v>34542</v>
      </c>
    </row>
    <row r="1471" spans="1:4">
      <c r="A1471" t="s">
        <v>25</v>
      </c>
      <c r="B1471" t="s">
        <v>180</v>
      </c>
      <c r="C1471" s="9">
        <v>46149</v>
      </c>
      <c r="D1471" s="10">
        <v>14687</v>
      </c>
    </row>
    <row r="1472" spans="1:4">
      <c r="A1472" t="s">
        <v>25</v>
      </c>
      <c r="B1472" t="s">
        <v>126</v>
      </c>
      <c r="C1472" s="9">
        <v>46149</v>
      </c>
      <c r="D1472" s="10">
        <v>12575</v>
      </c>
    </row>
    <row r="1473" spans="1:4">
      <c r="A1473" t="s">
        <v>30</v>
      </c>
      <c r="B1473" t="s">
        <v>279</v>
      </c>
      <c r="C1473" s="9">
        <v>46149</v>
      </c>
      <c r="D1473" s="10">
        <v>13097</v>
      </c>
    </row>
    <row r="1474" spans="1:4">
      <c r="A1474" t="s">
        <v>30</v>
      </c>
      <c r="B1474" t="s">
        <v>60</v>
      </c>
      <c r="C1474" s="9">
        <v>46149</v>
      </c>
      <c r="D1474" s="10">
        <v>12780</v>
      </c>
    </row>
    <row r="1475" spans="1:4">
      <c r="A1475" t="s">
        <v>6</v>
      </c>
      <c r="B1475" t="s">
        <v>228</v>
      </c>
      <c r="C1475" s="9">
        <v>46149</v>
      </c>
      <c r="D1475" s="10">
        <v>12642</v>
      </c>
    </row>
    <row r="1476" spans="1:4">
      <c r="A1476" t="s">
        <v>6</v>
      </c>
      <c r="B1476" t="s">
        <v>218</v>
      </c>
      <c r="C1476" s="9">
        <v>46149</v>
      </c>
      <c r="D1476" s="10">
        <v>22099</v>
      </c>
    </row>
    <row r="1477" spans="1:4">
      <c r="A1477" t="s">
        <v>33</v>
      </c>
      <c r="B1477" t="s">
        <v>99</v>
      </c>
      <c r="C1477" s="9">
        <v>46149</v>
      </c>
      <c r="D1477" s="10">
        <v>9745</v>
      </c>
    </row>
    <row r="1478" spans="1:4">
      <c r="A1478" t="s">
        <v>9</v>
      </c>
      <c r="B1478" t="s">
        <v>290</v>
      </c>
      <c r="C1478" s="9">
        <v>46149</v>
      </c>
      <c r="D1478" s="10">
        <v>25003</v>
      </c>
    </row>
    <row r="1479" spans="1:4">
      <c r="A1479" t="s">
        <v>9</v>
      </c>
      <c r="B1479" t="s">
        <v>191</v>
      </c>
      <c r="C1479" s="9">
        <v>46149</v>
      </c>
      <c r="D1479" s="10">
        <v>28284</v>
      </c>
    </row>
    <row r="1480" spans="1:4">
      <c r="A1480" t="s">
        <v>5</v>
      </c>
      <c r="B1480" t="s">
        <v>284</v>
      </c>
      <c r="C1480" s="9">
        <v>46149</v>
      </c>
      <c r="D1480" s="10">
        <v>38662</v>
      </c>
    </row>
    <row r="1481" spans="1:4">
      <c r="A1481" t="s">
        <v>5</v>
      </c>
      <c r="B1481" t="s">
        <v>121</v>
      </c>
      <c r="C1481" s="9">
        <v>46149</v>
      </c>
      <c r="D1481" s="10">
        <v>43699</v>
      </c>
    </row>
    <row r="1482" spans="1:4">
      <c r="A1482" t="s">
        <v>5</v>
      </c>
      <c r="B1482" t="s">
        <v>230</v>
      </c>
      <c r="C1482" s="9">
        <v>46149</v>
      </c>
      <c r="D1482" s="10">
        <v>41787</v>
      </c>
    </row>
    <row r="1483" spans="1:4">
      <c r="A1483" t="s">
        <v>4</v>
      </c>
      <c r="B1483" t="s">
        <v>234</v>
      </c>
      <c r="C1483" s="9">
        <v>46150</v>
      </c>
      <c r="D1483" s="10">
        <v>13039</v>
      </c>
    </row>
    <row r="1484" spans="1:4">
      <c r="A1484" t="s">
        <v>31</v>
      </c>
      <c r="B1484" t="s">
        <v>286</v>
      </c>
      <c r="C1484" s="9">
        <v>46150</v>
      </c>
      <c r="D1484" s="10">
        <v>11803</v>
      </c>
    </row>
    <row r="1485" spans="1:4">
      <c r="A1485" t="s">
        <v>28</v>
      </c>
      <c r="B1485" t="s">
        <v>255</v>
      </c>
      <c r="C1485" s="9">
        <v>46150</v>
      </c>
      <c r="D1485" s="10">
        <v>13197</v>
      </c>
    </row>
    <row r="1486" spans="1:4">
      <c r="A1486" t="s">
        <v>8</v>
      </c>
      <c r="B1486" t="s">
        <v>160</v>
      </c>
      <c r="C1486" s="9">
        <v>46150</v>
      </c>
      <c r="D1486" s="10">
        <v>17559</v>
      </c>
    </row>
    <row r="1487" spans="1:4">
      <c r="A1487" t="s">
        <v>9</v>
      </c>
      <c r="B1487" t="s">
        <v>205</v>
      </c>
      <c r="C1487" s="9">
        <v>46150</v>
      </c>
      <c r="D1487" s="10">
        <v>37513</v>
      </c>
    </row>
    <row r="1488" spans="1:4">
      <c r="A1488" t="s">
        <v>9</v>
      </c>
      <c r="B1488" t="s">
        <v>167</v>
      </c>
      <c r="C1488" s="9">
        <v>46150</v>
      </c>
      <c r="D1488" s="10">
        <v>41387</v>
      </c>
    </row>
    <row r="1489" spans="1:4">
      <c r="A1489" t="s">
        <v>5</v>
      </c>
      <c r="B1489" t="s">
        <v>107</v>
      </c>
      <c r="C1489" s="9">
        <v>46150</v>
      </c>
      <c r="D1489" s="10">
        <v>27901</v>
      </c>
    </row>
    <row r="1490" spans="1:4">
      <c r="A1490" t="s">
        <v>5</v>
      </c>
      <c r="B1490" t="s">
        <v>93</v>
      </c>
      <c r="C1490" s="9">
        <v>46150</v>
      </c>
      <c r="D1490" s="10">
        <v>42315</v>
      </c>
    </row>
    <row r="1491" spans="1:4">
      <c r="A1491" t="s">
        <v>5</v>
      </c>
      <c r="B1491" t="s">
        <v>285</v>
      </c>
      <c r="C1491" s="9">
        <v>46150</v>
      </c>
      <c r="D1491" s="10">
        <v>31490</v>
      </c>
    </row>
    <row r="1492" spans="1:4">
      <c r="A1492" t="s">
        <v>5</v>
      </c>
      <c r="B1492" t="s">
        <v>272</v>
      </c>
      <c r="C1492" s="9">
        <v>46150</v>
      </c>
      <c r="D1492" s="10">
        <v>48762</v>
      </c>
    </row>
    <row r="1493" spans="1:4">
      <c r="A1493" t="s">
        <v>5</v>
      </c>
      <c r="B1493" t="s">
        <v>291</v>
      </c>
      <c r="C1493" s="9">
        <v>46150</v>
      </c>
      <c r="D1493" s="10">
        <v>30199</v>
      </c>
    </row>
    <row r="1494" spans="1:4">
      <c r="A1494" t="s">
        <v>5</v>
      </c>
      <c r="B1494" t="s">
        <v>69</v>
      </c>
      <c r="C1494" s="9">
        <v>46150</v>
      </c>
      <c r="D1494" s="10">
        <v>29914</v>
      </c>
    </row>
    <row r="1495" spans="1:4">
      <c r="A1495" t="s">
        <v>5</v>
      </c>
      <c r="B1495" t="s">
        <v>79</v>
      </c>
      <c r="C1495" s="9">
        <v>46150</v>
      </c>
      <c r="D1495" s="10">
        <v>31020</v>
      </c>
    </row>
    <row r="1496" spans="1:4">
      <c r="A1496" t="s">
        <v>4</v>
      </c>
      <c r="B1496" t="s">
        <v>137</v>
      </c>
      <c r="C1496" s="9">
        <v>46151</v>
      </c>
      <c r="D1496" s="10">
        <v>23162</v>
      </c>
    </row>
    <row r="1497" spans="1:4">
      <c r="A1497" t="s">
        <v>28</v>
      </c>
      <c r="B1497" t="s">
        <v>127</v>
      </c>
      <c r="C1497" s="9">
        <v>46151</v>
      </c>
      <c r="D1497" s="10">
        <v>13775</v>
      </c>
    </row>
    <row r="1498" spans="1:4">
      <c r="A1498" t="s">
        <v>26</v>
      </c>
      <c r="B1498" t="s">
        <v>156</v>
      </c>
      <c r="C1498" s="9">
        <v>46151</v>
      </c>
      <c r="D1498" s="10">
        <v>11192</v>
      </c>
    </row>
    <row r="1499" spans="1:4">
      <c r="A1499" t="s">
        <v>6</v>
      </c>
      <c r="B1499" t="s">
        <v>170</v>
      </c>
      <c r="C1499" s="9">
        <v>46151</v>
      </c>
      <c r="D1499" s="10">
        <v>19148</v>
      </c>
    </row>
    <row r="1500" spans="1:4">
      <c r="A1500" t="s">
        <v>29</v>
      </c>
      <c r="B1500" t="s">
        <v>263</v>
      </c>
      <c r="C1500" s="9">
        <v>46151</v>
      </c>
      <c r="D1500" s="10">
        <v>12827</v>
      </c>
    </row>
    <row r="1501" spans="1:4">
      <c r="A1501" t="s">
        <v>7</v>
      </c>
      <c r="B1501" t="s">
        <v>264</v>
      </c>
      <c r="C1501" s="9">
        <v>46151</v>
      </c>
      <c r="D1501" s="10">
        <v>18248</v>
      </c>
    </row>
    <row r="1502" spans="1:4">
      <c r="A1502" t="s">
        <v>5</v>
      </c>
      <c r="B1502" t="s">
        <v>93</v>
      </c>
      <c r="C1502" s="9">
        <v>46151</v>
      </c>
      <c r="D1502" s="10">
        <v>38609</v>
      </c>
    </row>
    <row r="1503" spans="1:4">
      <c r="A1503" t="s">
        <v>5</v>
      </c>
      <c r="B1503" t="s">
        <v>199</v>
      </c>
      <c r="C1503" s="9">
        <v>46151</v>
      </c>
      <c r="D1503" s="10">
        <v>48567</v>
      </c>
    </row>
    <row r="1504" spans="1:4">
      <c r="A1504" t="s">
        <v>5</v>
      </c>
      <c r="B1504" t="s">
        <v>143</v>
      </c>
      <c r="C1504" s="9">
        <v>46151</v>
      </c>
      <c r="D1504" s="10">
        <v>41091</v>
      </c>
    </row>
    <row r="1505" spans="1:4">
      <c r="A1505" t="s">
        <v>4</v>
      </c>
      <c r="B1505" t="s">
        <v>116</v>
      </c>
      <c r="C1505" s="9">
        <v>46152</v>
      </c>
      <c r="D1505" s="10">
        <v>36634</v>
      </c>
    </row>
    <row r="1506" spans="1:4">
      <c r="A1506" t="s">
        <v>4</v>
      </c>
      <c r="B1506" t="s">
        <v>111</v>
      </c>
      <c r="C1506" s="9">
        <v>46152</v>
      </c>
      <c r="D1506" s="10">
        <v>36809</v>
      </c>
    </row>
    <row r="1507" spans="1:4">
      <c r="A1507" t="s">
        <v>4</v>
      </c>
      <c r="B1507" t="s">
        <v>104</v>
      </c>
      <c r="C1507" s="9">
        <v>46152</v>
      </c>
      <c r="D1507" s="10">
        <v>19321</v>
      </c>
    </row>
    <row r="1508" spans="1:4">
      <c r="A1508" t="s">
        <v>4</v>
      </c>
      <c r="B1508" t="s">
        <v>265</v>
      </c>
      <c r="C1508" s="9">
        <v>46152</v>
      </c>
      <c r="D1508" s="10">
        <v>37688</v>
      </c>
    </row>
    <row r="1509" spans="1:4">
      <c r="A1509" t="s">
        <v>36</v>
      </c>
      <c r="B1509" t="s">
        <v>287</v>
      </c>
      <c r="C1509" s="9">
        <v>46152</v>
      </c>
      <c r="D1509" s="10">
        <v>11410</v>
      </c>
    </row>
    <row r="1510" spans="1:4">
      <c r="A1510" t="s">
        <v>7</v>
      </c>
      <c r="B1510" t="s">
        <v>219</v>
      </c>
      <c r="C1510" s="9">
        <v>46152</v>
      </c>
      <c r="D1510" s="10">
        <v>25784</v>
      </c>
    </row>
    <row r="1511" spans="1:4">
      <c r="A1511" t="s">
        <v>7</v>
      </c>
      <c r="B1511" t="s">
        <v>186</v>
      </c>
      <c r="C1511" s="9">
        <v>46152</v>
      </c>
      <c r="D1511" s="10">
        <v>26335</v>
      </c>
    </row>
    <row r="1512" spans="1:4">
      <c r="A1512" t="s">
        <v>9</v>
      </c>
      <c r="B1512" t="s">
        <v>268</v>
      </c>
      <c r="C1512" s="9">
        <v>46152</v>
      </c>
      <c r="D1512" s="10">
        <v>26495</v>
      </c>
    </row>
    <row r="1513" spans="1:4">
      <c r="A1513" t="s">
        <v>9</v>
      </c>
      <c r="B1513" t="s">
        <v>76</v>
      </c>
      <c r="C1513" s="9">
        <v>46152</v>
      </c>
      <c r="D1513" s="10">
        <v>32088</v>
      </c>
    </row>
    <row r="1514" spans="1:4">
      <c r="A1514" t="s">
        <v>9</v>
      </c>
      <c r="B1514" t="s">
        <v>65</v>
      </c>
      <c r="C1514" s="9">
        <v>46152</v>
      </c>
      <c r="D1514" s="10">
        <v>30492</v>
      </c>
    </row>
    <row r="1515" spans="1:4">
      <c r="A1515" t="s">
        <v>5</v>
      </c>
      <c r="B1515" t="s">
        <v>134</v>
      </c>
      <c r="C1515" s="9">
        <v>46152</v>
      </c>
      <c r="D1515" s="10">
        <v>33478</v>
      </c>
    </row>
    <row r="1516" spans="1:4">
      <c r="A1516" t="s">
        <v>5</v>
      </c>
      <c r="B1516" t="s">
        <v>134</v>
      </c>
      <c r="C1516" s="9">
        <v>46152</v>
      </c>
      <c r="D1516" s="10">
        <v>50910</v>
      </c>
    </row>
    <row r="1517" spans="1:4">
      <c r="A1517" t="s">
        <v>5</v>
      </c>
      <c r="B1517" t="s">
        <v>67</v>
      </c>
      <c r="C1517" s="9">
        <v>46152</v>
      </c>
      <c r="D1517" s="10">
        <v>59833</v>
      </c>
    </row>
    <row r="1518" spans="1:4">
      <c r="A1518" t="s">
        <v>5</v>
      </c>
      <c r="B1518" t="s">
        <v>107</v>
      </c>
      <c r="C1518" s="9">
        <v>46152</v>
      </c>
      <c r="D1518" s="10">
        <v>39086</v>
      </c>
    </row>
    <row r="1519" spans="1:4">
      <c r="A1519" t="s">
        <v>5</v>
      </c>
      <c r="B1519" t="s">
        <v>211</v>
      </c>
      <c r="C1519" s="9">
        <v>46152</v>
      </c>
      <c r="D1519" s="10">
        <v>30964</v>
      </c>
    </row>
    <row r="1520" spans="1:4">
      <c r="A1520" t="s">
        <v>5</v>
      </c>
      <c r="B1520" t="s">
        <v>211</v>
      </c>
      <c r="C1520" s="9">
        <v>46152</v>
      </c>
      <c r="D1520" s="10">
        <v>31030</v>
      </c>
    </row>
    <row r="1521" spans="1:4">
      <c r="A1521" t="s">
        <v>4</v>
      </c>
      <c r="B1521" t="s">
        <v>214</v>
      </c>
      <c r="C1521" s="9">
        <v>46153</v>
      </c>
      <c r="D1521" s="10">
        <v>33575</v>
      </c>
    </row>
    <row r="1522" spans="1:4">
      <c r="A1522" t="s">
        <v>7</v>
      </c>
      <c r="B1522" t="s">
        <v>205</v>
      </c>
      <c r="C1522" s="9">
        <v>46153</v>
      </c>
      <c r="D1522" s="10">
        <v>37060</v>
      </c>
    </row>
    <row r="1523" spans="1:4">
      <c r="A1523" t="s">
        <v>9</v>
      </c>
      <c r="B1523" t="s">
        <v>93</v>
      </c>
      <c r="C1523" s="9">
        <v>46153</v>
      </c>
      <c r="D1523" s="10">
        <v>50282</v>
      </c>
    </row>
    <row r="1524" spans="1:4">
      <c r="A1524" t="s">
        <v>9</v>
      </c>
      <c r="B1524" t="s">
        <v>151</v>
      </c>
      <c r="C1524" s="9">
        <v>46153</v>
      </c>
      <c r="D1524" s="10">
        <v>32324</v>
      </c>
    </row>
    <row r="1525" spans="1:4">
      <c r="A1525" t="s">
        <v>9</v>
      </c>
      <c r="B1525" t="s">
        <v>76</v>
      </c>
      <c r="C1525" s="9">
        <v>46153</v>
      </c>
      <c r="D1525" s="10">
        <v>29771</v>
      </c>
    </row>
    <row r="1526" spans="1:4">
      <c r="A1526" t="s">
        <v>9</v>
      </c>
      <c r="B1526" t="s">
        <v>197</v>
      </c>
      <c r="C1526" s="9">
        <v>46153</v>
      </c>
      <c r="D1526" s="10">
        <v>37112</v>
      </c>
    </row>
    <row r="1527" spans="1:4">
      <c r="A1527" t="s">
        <v>5</v>
      </c>
      <c r="B1527" t="s">
        <v>67</v>
      </c>
      <c r="C1527" s="9">
        <v>46153</v>
      </c>
      <c r="D1527" s="10">
        <v>54232</v>
      </c>
    </row>
    <row r="1528" spans="1:4">
      <c r="A1528" t="s">
        <v>5</v>
      </c>
      <c r="B1528" t="s">
        <v>176</v>
      </c>
      <c r="C1528" s="9">
        <v>46153</v>
      </c>
      <c r="D1528" s="10">
        <v>32254</v>
      </c>
    </row>
    <row r="1529" spans="1:4">
      <c r="A1529" t="s">
        <v>5</v>
      </c>
      <c r="B1529" t="s">
        <v>198</v>
      </c>
      <c r="C1529" s="9">
        <v>46153</v>
      </c>
      <c r="D1529" s="10">
        <v>39384</v>
      </c>
    </row>
    <row r="1530" spans="1:4">
      <c r="A1530" t="s">
        <v>5</v>
      </c>
      <c r="B1530" t="s">
        <v>118</v>
      </c>
      <c r="C1530" s="9">
        <v>46153</v>
      </c>
      <c r="D1530" s="10">
        <v>40215</v>
      </c>
    </row>
    <row r="1531" spans="1:4">
      <c r="A1531" t="s">
        <v>5</v>
      </c>
      <c r="B1531" t="s">
        <v>68</v>
      </c>
      <c r="C1531" s="9">
        <v>46153</v>
      </c>
      <c r="D1531" s="10">
        <v>34408</v>
      </c>
    </row>
    <row r="1532" spans="1:4">
      <c r="A1532" t="s">
        <v>5</v>
      </c>
      <c r="B1532" t="s">
        <v>71</v>
      </c>
      <c r="C1532" s="9">
        <v>46153</v>
      </c>
      <c r="D1532" s="10">
        <v>35068</v>
      </c>
    </row>
    <row r="1533" spans="1:4">
      <c r="A1533" t="s">
        <v>27</v>
      </c>
      <c r="B1533" t="s">
        <v>103</v>
      </c>
      <c r="C1533" s="9">
        <v>46154</v>
      </c>
      <c r="D1533" s="10">
        <v>10740</v>
      </c>
    </row>
    <row r="1534" spans="1:4">
      <c r="A1534" t="s">
        <v>4</v>
      </c>
      <c r="B1534" t="s">
        <v>145</v>
      </c>
      <c r="C1534" s="9">
        <v>46154</v>
      </c>
      <c r="D1534" s="10">
        <v>39831</v>
      </c>
    </row>
    <row r="1535" spans="1:4">
      <c r="A1535" t="s">
        <v>25</v>
      </c>
      <c r="B1535" t="s">
        <v>242</v>
      </c>
      <c r="C1535" s="9">
        <v>46154</v>
      </c>
      <c r="D1535" s="10">
        <v>19001</v>
      </c>
    </row>
    <row r="1536" spans="1:4">
      <c r="A1536" t="s">
        <v>25</v>
      </c>
      <c r="B1536" t="s">
        <v>171</v>
      </c>
      <c r="C1536" s="9">
        <v>46154</v>
      </c>
      <c r="D1536" s="10">
        <v>13974</v>
      </c>
    </row>
    <row r="1537" spans="1:4">
      <c r="A1537" t="s">
        <v>26</v>
      </c>
      <c r="B1537" t="s">
        <v>260</v>
      </c>
      <c r="C1537" s="9">
        <v>46154</v>
      </c>
      <c r="D1537" s="10">
        <v>14590</v>
      </c>
    </row>
    <row r="1538" spans="1:4">
      <c r="A1538" t="s">
        <v>30</v>
      </c>
      <c r="B1538" t="s">
        <v>195</v>
      </c>
      <c r="C1538" s="9">
        <v>46154</v>
      </c>
      <c r="D1538" s="10">
        <v>13313</v>
      </c>
    </row>
    <row r="1539" spans="1:4">
      <c r="A1539" t="s">
        <v>8</v>
      </c>
      <c r="B1539" t="s">
        <v>203</v>
      </c>
      <c r="C1539" s="9">
        <v>46154</v>
      </c>
      <c r="D1539" s="10">
        <v>17033</v>
      </c>
    </row>
    <row r="1540" spans="1:4">
      <c r="A1540" t="s">
        <v>33</v>
      </c>
      <c r="B1540" t="s">
        <v>98</v>
      </c>
      <c r="C1540" s="9">
        <v>46154</v>
      </c>
      <c r="D1540" s="10">
        <v>7938</v>
      </c>
    </row>
    <row r="1541" spans="1:4">
      <c r="A1541" t="s">
        <v>7</v>
      </c>
      <c r="B1541" t="s">
        <v>162</v>
      </c>
      <c r="C1541" s="9">
        <v>46154</v>
      </c>
      <c r="D1541" s="10">
        <v>24273</v>
      </c>
    </row>
    <row r="1542" spans="1:4">
      <c r="A1542" t="s">
        <v>7</v>
      </c>
      <c r="B1542" t="s">
        <v>245</v>
      </c>
      <c r="C1542" s="9">
        <v>46154</v>
      </c>
      <c r="D1542" s="10">
        <v>35294</v>
      </c>
    </row>
    <row r="1543" spans="1:4">
      <c r="A1543" t="s">
        <v>9</v>
      </c>
      <c r="B1543" t="s">
        <v>63</v>
      </c>
      <c r="C1543" s="9">
        <v>46154</v>
      </c>
      <c r="D1543" s="10">
        <v>37349</v>
      </c>
    </row>
    <row r="1544" spans="1:4">
      <c r="A1544" t="s">
        <v>5</v>
      </c>
      <c r="B1544" t="s">
        <v>116</v>
      </c>
      <c r="C1544" s="9">
        <v>46154</v>
      </c>
      <c r="D1544" s="10">
        <v>48051</v>
      </c>
    </row>
    <row r="1545" spans="1:4">
      <c r="A1545" t="s">
        <v>5</v>
      </c>
      <c r="B1545" t="s">
        <v>71</v>
      </c>
      <c r="C1545" s="9">
        <v>46154</v>
      </c>
      <c r="D1545" s="10">
        <v>34472</v>
      </c>
    </row>
    <row r="1546" spans="1:4">
      <c r="A1546" t="s">
        <v>27</v>
      </c>
      <c r="B1546" t="s">
        <v>96</v>
      </c>
      <c r="C1546" s="9">
        <v>46155</v>
      </c>
      <c r="D1546" s="10">
        <v>11410</v>
      </c>
    </row>
    <row r="1547" spans="1:4">
      <c r="A1547" t="s">
        <v>30</v>
      </c>
      <c r="B1547" t="s">
        <v>261</v>
      </c>
      <c r="C1547" s="9">
        <v>46155</v>
      </c>
      <c r="D1547" s="10">
        <v>12532</v>
      </c>
    </row>
    <row r="1548" spans="1:4">
      <c r="A1548" t="s">
        <v>8</v>
      </c>
      <c r="B1548" t="s">
        <v>112</v>
      </c>
      <c r="C1548" s="9">
        <v>46155</v>
      </c>
      <c r="D1548" s="10">
        <v>37854</v>
      </c>
    </row>
    <row r="1549" spans="1:4">
      <c r="A1549" t="s">
        <v>6</v>
      </c>
      <c r="B1549" t="s">
        <v>280</v>
      </c>
      <c r="C1549" s="9">
        <v>46155</v>
      </c>
      <c r="D1549" s="10">
        <v>22869</v>
      </c>
    </row>
    <row r="1550" spans="1:4">
      <c r="A1550" t="s">
        <v>7</v>
      </c>
      <c r="B1550" t="s">
        <v>130</v>
      </c>
      <c r="C1550" s="9">
        <v>46155</v>
      </c>
      <c r="D1550" s="10">
        <v>50171</v>
      </c>
    </row>
    <row r="1551" spans="1:4">
      <c r="A1551" t="s">
        <v>7</v>
      </c>
      <c r="B1551" t="s">
        <v>62</v>
      </c>
      <c r="C1551" s="9">
        <v>46155</v>
      </c>
      <c r="D1551" s="10">
        <v>34642</v>
      </c>
    </row>
    <row r="1552" spans="1:4">
      <c r="A1552" t="s">
        <v>9</v>
      </c>
      <c r="B1552" t="s">
        <v>90</v>
      </c>
      <c r="C1552" s="9">
        <v>46155</v>
      </c>
      <c r="D1552" s="10">
        <v>26376</v>
      </c>
    </row>
    <row r="1553" spans="1:4">
      <c r="A1553" t="s">
        <v>9</v>
      </c>
      <c r="B1553" t="s">
        <v>293</v>
      </c>
      <c r="C1553" s="9">
        <v>46155</v>
      </c>
      <c r="D1553" s="10">
        <v>48034</v>
      </c>
    </row>
    <row r="1554" spans="1:4">
      <c r="A1554" t="s">
        <v>5</v>
      </c>
      <c r="B1554" t="s">
        <v>116</v>
      </c>
      <c r="C1554" s="9">
        <v>46155</v>
      </c>
      <c r="D1554" s="10">
        <v>39703</v>
      </c>
    </row>
    <row r="1555" spans="1:4">
      <c r="A1555" t="s">
        <v>5</v>
      </c>
      <c r="B1555" t="s">
        <v>143</v>
      </c>
      <c r="C1555" s="9">
        <v>46155</v>
      </c>
      <c r="D1555" s="10">
        <v>44470</v>
      </c>
    </row>
    <row r="1556" spans="1:4">
      <c r="A1556" t="s">
        <v>5</v>
      </c>
      <c r="B1556" t="s">
        <v>71</v>
      </c>
      <c r="C1556" s="9">
        <v>46155</v>
      </c>
      <c r="D1556" s="10">
        <v>36183</v>
      </c>
    </row>
    <row r="1557" spans="1:4">
      <c r="A1557" t="s">
        <v>27</v>
      </c>
      <c r="B1557" t="s">
        <v>238</v>
      </c>
      <c r="C1557" s="9">
        <v>46156</v>
      </c>
      <c r="D1557" s="10">
        <v>12609</v>
      </c>
    </row>
    <row r="1558" spans="1:4">
      <c r="A1558" t="s">
        <v>4</v>
      </c>
      <c r="B1558" t="s">
        <v>239</v>
      </c>
      <c r="C1558" s="9">
        <v>46156</v>
      </c>
      <c r="D1558" s="10">
        <v>30768</v>
      </c>
    </row>
    <row r="1559" spans="1:4">
      <c r="A1559" t="s">
        <v>8</v>
      </c>
      <c r="B1559" t="s">
        <v>158</v>
      </c>
      <c r="C1559" s="9">
        <v>46156</v>
      </c>
      <c r="D1559" s="10">
        <v>17650</v>
      </c>
    </row>
    <row r="1560" spans="1:4">
      <c r="A1560" t="s">
        <v>7</v>
      </c>
      <c r="B1560" t="s">
        <v>150</v>
      </c>
      <c r="C1560" s="9">
        <v>46156</v>
      </c>
      <c r="D1560" s="10">
        <v>21096</v>
      </c>
    </row>
    <row r="1561" spans="1:4">
      <c r="A1561" t="s">
        <v>9</v>
      </c>
      <c r="B1561" t="s">
        <v>259</v>
      </c>
      <c r="C1561" s="9">
        <v>46156</v>
      </c>
      <c r="D1561" s="10">
        <v>29526</v>
      </c>
    </row>
    <row r="1562" spans="1:4">
      <c r="A1562" t="s">
        <v>9</v>
      </c>
      <c r="B1562" t="s">
        <v>90</v>
      </c>
      <c r="C1562" s="9">
        <v>46156</v>
      </c>
      <c r="D1562" s="10">
        <v>33346</v>
      </c>
    </row>
    <row r="1563" spans="1:4">
      <c r="A1563" t="s">
        <v>9</v>
      </c>
      <c r="B1563" t="s">
        <v>64</v>
      </c>
      <c r="C1563" s="9">
        <v>46156</v>
      </c>
      <c r="D1563" s="10">
        <v>29087</v>
      </c>
    </row>
    <row r="1564" spans="1:4">
      <c r="A1564" t="s">
        <v>9</v>
      </c>
      <c r="B1564" t="s">
        <v>292</v>
      </c>
      <c r="C1564" s="9">
        <v>46156</v>
      </c>
      <c r="D1564" s="10">
        <v>49429</v>
      </c>
    </row>
    <row r="1565" spans="1:4">
      <c r="A1565" t="s">
        <v>5</v>
      </c>
      <c r="B1565" t="s">
        <v>77</v>
      </c>
      <c r="C1565" s="9">
        <v>46156</v>
      </c>
      <c r="D1565" s="10">
        <v>32421</v>
      </c>
    </row>
    <row r="1566" spans="1:4">
      <c r="A1566" t="s">
        <v>5</v>
      </c>
      <c r="B1566" t="s">
        <v>121</v>
      </c>
      <c r="C1566" s="9">
        <v>46156</v>
      </c>
      <c r="D1566" s="10">
        <v>44184</v>
      </c>
    </row>
    <row r="1567" spans="1:4">
      <c r="A1567" t="s">
        <v>5</v>
      </c>
      <c r="B1567" t="s">
        <v>78</v>
      </c>
      <c r="C1567" s="9">
        <v>46156</v>
      </c>
      <c r="D1567" s="10">
        <v>38383</v>
      </c>
    </row>
    <row r="1568" spans="1:4">
      <c r="A1568" t="s">
        <v>5</v>
      </c>
      <c r="B1568" t="s">
        <v>71</v>
      </c>
      <c r="C1568" s="9">
        <v>46156</v>
      </c>
      <c r="D1568" s="10">
        <v>46353</v>
      </c>
    </row>
    <row r="1569" spans="1:4">
      <c r="A1569" t="s">
        <v>26</v>
      </c>
      <c r="B1569" t="s">
        <v>189</v>
      </c>
      <c r="C1569" s="9">
        <v>46157</v>
      </c>
      <c r="D1569" s="10">
        <v>7065</v>
      </c>
    </row>
    <row r="1570" spans="1:4">
      <c r="A1570" t="s">
        <v>8</v>
      </c>
      <c r="B1570" t="s">
        <v>227</v>
      </c>
      <c r="C1570" s="9">
        <v>46157</v>
      </c>
      <c r="D1570" s="10">
        <v>5200</v>
      </c>
    </row>
    <row r="1571" spans="1:4">
      <c r="A1571" t="s">
        <v>8</v>
      </c>
      <c r="B1571" t="s">
        <v>159</v>
      </c>
      <c r="C1571" s="9">
        <v>46157</v>
      </c>
      <c r="D1571" s="10">
        <v>15106</v>
      </c>
    </row>
    <row r="1572" spans="1:4">
      <c r="A1572" t="s">
        <v>8</v>
      </c>
      <c r="B1572" t="s">
        <v>120</v>
      </c>
      <c r="C1572" s="9">
        <v>46157</v>
      </c>
      <c r="D1572" s="10">
        <v>12805</v>
      </c>
    </row>
    <row r="1573" spans="1:4">
      <c r="A1573" t="s">
        <v>7</v>
      </c>
      <c r="B1573" t="s">
        <v>166</v>
      </c>
      <c r="C1573" s="9">
        <v>46157</v>
      </c>
      <c r="D1573" s="10">
        <v>32009</v>
      </c>
    </row>
    <row r="1574" spans="1:4">
      <c r="A1574" t="s">
        <v>5</v>
      </c>
      <c r="B1574" t="s">
        <v>224</v>
      </c>
      <c r="C1574" s="9">
        <v>46157</v>
      </c>
      <c r="D1574" s="10">
        <v>46042</v>
      </c>
    </row>
    <row r="1575" spans="1:4">
      <c r="A1575" t="s">
        <v>5</v>
      </c>
      <c r="B1575" t="s">
        <v>67</v>
      </c>
      <c r="C1575" s="9">
        <v>46157</v>
      </c>
      <c r="D1575" s="10">
        <v>43638</v>
      </c>
    </row>
    <row r="1576" spans="1:4">
      <c r="A1576" t="s">
        <v>5</v>
      </c>
      <c r="B1576" t="s">
        <v>135</v>
      </c>
      <c r="C1576" s="9">
        <v>46157</v>
      </c>
      <c r="D1576" s="10">
        <v>38495</v>
      </c>
    </row>
    <row r="1577" spans="1:4">
      <c r="A1577" t="s">
        <v>5</v>
      </c>
      <c r="B1577" t="s">
        <v>187</v>
      </c>
      <c r="C1577" s="9">
        <v>46157</v>
      </c>
      <c r="D1577" s="10">
        <v>31287</v>
      </c>
    </row>
    <row r="1578" spans="1:4">
      <c r="A1578" t="s">
        <v>5</v>
      </c>
      <c r="B1578" t="s">
        <v>122</v>
      </c>
      <c r="C1578" s="9">
        <v>46157</v>
      </c>
      <c r="D1578" s="10">
        <v>62666</v>
      </c>
    </row>
    <row r="1579" spans="1:4">
      <c r="A1579" t="s">
        <v>5</v>
      </c>
      <c r="B1579" t="s">
        <v>68</v>
      </c>
      <c r="C1579" s="9">
        <v>46157</v>
      </c>
      <c r="D1579" s="10">
        <v>38593</v>
      </c>
    </row>
    <row r="1580" spans="1:4">
      <c r="A1580" t="s">
        <v>4</v>
      </c>
      <c r="B1580" t="s">
        <v>77</v>
      </c>
      <c r="C1580" s="9">
        <v>46158</v>
      </c>
      <c r="D1580" s="10">
        <v>50872</v>
      </c>
    </row>
    <row r="1581" spans="1:4">
      <c r="A1581" t="s">
        <v>30</v>
      </c>
      <c r="B1581" t="s">
        <v>289</v>
      </c>
      <c r="C1581" s="9">
        <v>46158</v>
      </c>
      <c r="D1581" s="10">
        <v>11834</v>
      </c>
    </row>
    <row r="1582" spans="1:4">
      <c r="A1582" t="s">
        <v>32</v>
      </c>
      <c r="B1582" t="s">
        <v>288</v>
      </c>
      <c r="C1582" s="9">
        <v>46158</v>
      </c>
      <c r="D1582" s="10">
        <v>12277</v>
      </c>
    </row>
    <row r="1583" spans="1:4">
      <c r="A1583" t="s">
        <v>34</v>
      </c>
      <c r="B1583" t="s">
        <v>161</v>
      </c>
      <c r="C1583" s="9">
        <v>46158</v>
      </c>
      <c r="D1583" s="10">
        <v>12284</v>
      </c>
    </row>
    <row r="1584" spans="1:4">
      <c r="A1584" t="s">
        <v>7</v>
      </c>
      <c r="B1584" t="s">
        <v>204</v>
      </c>
      <c r="C1584" s="9">
        <v>46158</v>
      </c>
      <c r="D1584" s="10">
        <v>23124</v>
      </c>
    </row>
    <row r="1585" spans="1:4">
      <c r="A1585" t="s">
        <v>9</v>
      </c>
      <c r="B1585" t="s">
        <v>57</v>
      </c>
      <c r="C1585" s="9">
        <v>46158</v>
      </c>
      <c r="D1585" s="10">
        <v>31346</v>
      </c>
    </row>
    <row r="1586" spans="1:4">
      <c r="A1586" t="s">
        <v>9</v>
      </c>
      <c r="B1586" t="s">
        <v>174</v>
      </c>
      <c r="C1586" s="9">
        <v>46158</v>
      </c>
      <c r="D1586" s="10">
        <v>57470</v>
      </c>
    </row>
    <row r="1587" spans="1:4">
      <c r="A1587" t="s">
        <v>9</v>
      </c>
      <c r="B1587" t="s">
        <v>136</v>
      </c>
      <c r="C1587" s="9">
        <v>46158</v>
      </c>
      <c r="D1587" s="10">
        <v>38608</v>
      </c>
    </row>
    <row r="1588" spans="1:4">
      <c r="A1588" t="s">
        <v>9</v>
      </c>
      <c r="B1588" t="s">
        <v>166</v>
      </c>
      <c r="C1588" s="9">
        <v>46158</v>
      </c>
      <c r="D1588" s="10">
        <v>29086</v>
      </c>
    </row>
    <row r="1589" spans="1:4">
      <c r="A1589" t="s">
        <v>5</v>
      </c>
      <c r="B1589" t="s">
        <v>135</v>
      </c>
      <c r="C1589" s="9">
        <v>46158</v>
      </c>
      <c r="D1589" s="10">
        <v>31528</v>
      </c>
    </row>
    <row r="1590" spans="1:4">
      <c r="A1590" t="s">
        <v>5</v>
      </c>
      <c r="B1590" t="s">
        <v>95</v>
      </c>
      <c r="C1590" s="9">
        <v>46158</v>
      </c>
      <c r="D1590" s="10">
        <v>35282</v>
      </c>
    </row>
    <row r="1591" spans="1:4">
      <c r="A1591" t="s">
        <v>5</v>
      </c>
      <c r="B1591" t="s">
        <v>70</v>
      </c>
      <c r="C1591" s="9">
        <v>46158</v>
      </c>
      <c r="D1591" s="10">
        <v>52583</v>
      </c>
    </row>
    <row r="1592" spans="1:4">
      <c r="A1592" t="s">
        <v>26</v>
      </c>
      <c r="B1592" t="s">
        <v>209</v>
      </c>
      <c r="C1592" s="9">
        <v>46159</v>
      </c>
      <c r="D1592" s="10">
        <v>28464</v>
      </c>
    </row>
    <row r="1593" spans="1:4">
      <c r="A1593" t="s">
        <v>9</v>
      </c>
      <c r="B1593" t="s">
        <v>75</v>
      </c>
      <c r="C1593" s="9">
        <v>46159</v>
      </c>
      <c r="D1593" s="10">
        <v>19519</v>
      </c>
    </row>
    <row r="1594" spans="1:4">
      <c r="A1594" t="s">
        <v>5</v>
      </c>
      <c r="B1594" t="s">
        <v>67</v>
      </c>
      <c r="C1594" s="9">
        <v>46159</v>
      </c>
      <c r="D1594" s="10">
        <v>55600</v>
      </c>
    </row>
    <row r="1595" spans="1:4">
      <c r="A1595" t="s">
        <v>5</v>
      </c>
      <c r="B1595" t="s">
        <v>78</v>
      </c>
      <c r="C1595" s="9">
        <v>46159</v>
      </c>
      <c r="D1595" s="10">
        <v>52838</v>
      </c>
    </row>
    <row r="1596" spans="1:4">
      <c r="A1596" t="s">
        <v>4</v>
      </c>
      <c r="B1596" t="s">
        <v>115</v>
      </c>
      <c r="C1596" s="9">
        <v>46160</v>
      </c>
      <c r="D1596" s="10">
        <v>31724</v>
      </c>
    </row>
    <row r="1597" spans="1:4">
      <c r="A1597" t="s">
        <v>4</v>
      </c>
      <c r="B1597" t="s">
        <v>225</v>
      </c>
      <c r="C1597" s="9">
        <v>46160</v>
      </c>
      <c r="D1597" s="10">
        <v>6381</v>
      </c>
    </row>
    <row r="1598" spans="1:4">
      <c r="A1598" t="s">
        <v>28</v>
      </c>
      <c r="B1598" t="s">
        <v>202</v>
      </c>
      <c r="C1598" s="9">
        <v>46160</v>
      </c>
      <c r="D1598" s="10">
        <v>8535</v>
      </c>
    </row>
    <row r="1599" spans="1:4">
      <c r="A1599" t="s">
        <v>8</v>
      </c>
      <c r="B1599" t="s">
        <v>232</v>
      </c>
      <c r="C1599" s="9">
        <v>46160</v>
      </c>
      <c r="D1599" s="10">
        <v>16632</v>
      </c>
    </row>
    <row r="1600" spans="1:4">
      <c r="A1600" t="s">
        <v>32</v>
      </c>
      <c r="B1600" t="s">
        <v>269</v>
      </c>
      <c r="C1600" s="9">
        <v>46160</v>
      </c>
      <c r="D1600" s="10">
        <v>10566</v>
      </c>
    </row>
    <row r="1601" spans="1:4">
      <c r="A1601" t="s">
        <v>32</v>
      </c>
      <c r="B1601" t="s">
        <v>88</v>
      </c>
      <c r="C1601" s="9">
        <v>46160</v>
      </c>
      <c r="D1601" s="10">
        <v>11952</v>
      </c>
    </row>
    <row r="1602" spans="1:4">
      <c r="A1602" t="s">
        <v>37</v>
      </c>
      <c r="B1602" t="s">
        <v>164</v>
      </c>
      <c r="C1602" s="9">
        <v>46160</v>
      </c>
      <c r="D1602" s="10">
        <v>10637</v>
      </c>
    </row>
    <row r="1603" spans="1:4">
      <c r="A1603" t="s">
        <v>9</v>
      </c>
      <c r="B1603" t="s">
        <v>191</v>
      </c>
      <c r="C1603" s="9">
        <v>46160</v>
      </c>
      <c r="D1603" s="10">
        <v>25947</v>
      </c>
    </row>
    <row r="1604" spans="1:4">
      <c r="A1604" t="s">
        <v>5</v>
      </c>
      <c r="B1604" t="s">
        <v>66</v>
      </c>
      <c r="C1604" s="9">
        <v>46160</v>
      </c>
      <c r="D1604" s="10">
        <v>35471</v>
      </c>
    </row>
    <row r="1605" spans="1:4">
      <c r="A1605" t="s">
        <v>5</v>
      </c>
      <c r="B1605" t="s">
        <v>115</v>
      </c>
      <c r="C1605" s="9">
        <v>46160</v>
      </c>
      <c r="D1605" s="10">
        <v>28582</v>
      </c>
    </row>
    <row r="1606" spans="1:4">
      <c r="A1606" t="s">
        <v>5</v>
      </c>
      <c r="B1606" t="s">
        <v>69</v>
      </c>
      <c r="C1606" s="9">
        <v>46160</v>
      </c>
      <c r="D1606" s="10">
        <v>46019</v>
      </c>
    </row>
    <row r="1607" spans="1:4">
      <c r="A1607" t="s">
        <v>4</v>
      </c>
      <c r="B1607" t="s">
        <v>77</v>
      </c>
      <c r="C1607" s="9">
        <v>46161</v>
      </c>
      <c r="D1607" s="10">
        <v>33638</v>
      </c>
    </row>
    <row r="1608" spans="1:4">
      <c r="A1608" t="s">
        <v>8</v>
      </c>
      <c r="B1608" t="s">
        <v>253</v>
      </c>
      <c r="C1608" s="9">
        <v>46161</v>
      </c>
      <c r="D1608" s="10">
        <v>17937</v>
      </c>
    </row>
    <row r="1609" spans="1:4">
      <c r="A1609" t="s">
        <v>7</v>
      </c>
      <c r="B1609" t="s">
        <v>173</v>
      </c>
      <c r="C1609" s="9">
        <v>46161</v>
      </c>
      <c r="D1609" s="10">
        <v>25099</v>
      </c>
    </row>
    <row r="1610" spans="1:4">
      <c r="A1610" t="s">
        <v>5</v>
      </c>
      <c r="B1610" t="s">
        <v>116</v>
      </c>
      <c r="C1610" s="9">
        <v>46161</v>
      </c>
      <c r="D1610" s="10">
        <v>46346</v>
      </c>
    </row>
    <row r="1611" spans="1:4">
      <c r="A1611" t="s">
        <v>5</v>
      </c>
      <c r="B1611" t="s">
        <v>224</v>
      </c>
      <c r="C1611" s="9">
        <v>46161</v>
      </c>
      <c r="D1611" s="10">
        <v>43619</v>
      </c>
    </row>
    <row r="1612" spans="1:4">
      <c r="A1612" t="s">
        <v>5</v>
      </c>
      <c r="B1612" t="s">
        <v>77</v>
      </c>
      <c r="C1612" s="9">
        <v>46161</v>
      </c>
      <c r="D1612" s="10">
        <v>50649</v>
      </c>
    </row>
    <row r="1613" spans="1:4">
      <c r="A1613" t="s">
        <v>5</v>
      </c>
      <c r="B1613" t="s">
        <v>284</v>
      </c>
      <c r="C1613" s="9">
        <v>46161</v>
      </c>
      <c r="D1613" s="10">
        <v>42631</v>
      </c>
    </row>
    <row r="1614" spans="1:4">
      <c r="A1614" t="s">
        <v>5</v>
      </c>
      <c r="B1614" t="s">
        <v>169</v>
      </c>
      <c r="C1614" s="9">
        <v>46161</v>
      </c>
      <c r="D1614" s="10">
        <v>39377</v>
      </c>
    </row>
    <row r="1615" spans="1:4">
      <c r="A1615" t="s">
        <v>5</v>
      </c>
      <c r="B1615" t="s">
        <v>69</v>
      </c>
      <c r="C1615" s="9">
        <v>46161</v>
      </c>
      <c r="D1615" s="10">
        <v>41398</v>
      </c>
    </row>
    <row r="1616" spans="1:4">
      <c r="A1616" t="s">
        <v>38</v>
      </c>
      <c r="B1616" t="s">
        <v>58</v>
      </c>
      <c r="C1616" s="9">
        <v>46162</v>
      </c>
      <c r="D1616" s="10">
        <v>12547</v>
      </c>
    </row>
    <row r="1617" spans="1:4">
      <c r="A1617" t="s">
        <v>4</v>
      </c>
      <c r="B1617" t="s">
        <v>213</v>
      </c>
      <c r="C1617" s="9">
        <v>46162</v>
      </c>
      <c r="D1617" s="10">
        <v>37154</v>
      </c>
    </row>
    <row r="1618" spans="1:4">
      <c r="A1618" t="s">
        <v>25</v>
      </c>
      <c r="B1618" t="s">
        <v>97</v>
      </c>
      <c r="C1618" s="9">
        <v>46162</v>
      </c>
      <c r="D1618" s="10">
        <v>15546</v>
      </c>
    </row>
    <row r="1619" spans="1:4">
      <c r="A1619" t="s">
        <v>28</v>
      </c>
      <c r="B1619" t="s">
        <v>237</v>
      </c>
      <c r="C1619" s="9">
        <v>46162</v>
      </c>
      <c r="D1619" s="10">
        <v>16530</v>
      </c>
    </row>
    <row r="1620" spans="1:4">
      <c r="A1620" t="s">
        <v>28</v>
      </c>
      <c r="B1620" t="s">
        <v>148</v>
      </c>
      <c r="C1620" s="9">
        <v>46162</v>
      </c>
      <c r="D1620" s="10">
        <v>5200</v>
      </c>
    </row>
    <row r="1621" spans="1:4">
      <c r="A1621" t="s">
        <v>8</v>
      </c>
      <c r="B1621" t="s">
        <v>87</v>
      </c>
      <c r="C1621" s="9">
        <v>46162</v>
      </c>
      <c r="D1621" s="10">
        <v>5200</v>
      </c>
    </row>
    <row r="1622" spans="1:4">
      <c r="A1622" t="s">
        <v>6</v>
      </c>
      <c r="B1622" t="s">
        <v>154</v>
      </c>
      <c r="C1622" s="9">
        <v>46162</v>
      </c>
      <c r="D1622" s="10">
        <v>41153</v>
      </c>
    </row>
    <row r="1623" spans="1:4">
      <c r="A1623" t="s">
        <v>6</v>
      </c>
      <c r="B1623" t="s">
        <v>256</v>
      </c>
      <c r="C1623" s="9">
        <v>46162</v>
      </c>
      <c r="D1623" s="10">
        <v>5200</v>
      </c>
    </row>
    <row r="1624" spans="1:4">
      <c r="A1624" t="s">
        <v>6</v>
      </c>
      <c r="B1624" t="s">
        <v>262</v>
      </c>
      <c r="C1624" s="9">
        <v>46162</v>
      </c>
      <c r="D1624" s="10">
        <v>20386</v>
      </c>
    </row>
    <row r="1625" spans="1:4">
      <c r="A1625" t="s">
        <v>29</v>
      </c>
      <c r="B1625" t="s">
        <v>196</v>
      </c>
      <c r="C1625" s="9">
        <v>46162</v>
      </c>
      <c r="D1625" s="10">
        <v>10459</v>
      </c>
    </row>
    <row r="1626" spans="1:4">
      <c r="A1626" t="s">
        <v>9</v>
      </c>
      <c r="B1626" t="s">
        <v>291</v>
      </c>
      <c r="C1626" s="9">
        <v>46162</v>
      </c>
      <c r="D1626" s="10">
        <v>32679</v>
      </c>
    </row>
    <row r="1627" spans="1:4">
      <c r="A1627" t="s">
        <v>9</v>
      </c>
      <c r="B1627" t="s">
        <v>131</v>
      </c>
      <c r="C1627" s="9">
        <v>46162</v>
      </c>
      <c r="D1627" s="10">
        <v>32467</v>
      </c>
    </row>
    <row r="1628" spans="1:4">
      <c r="A1628" t="s">
        <v>5</v>
      </c>
      <c r="B1628" t="s">
        <v>152</v>
      </c>
      <c r="C1628" s="9">
        <v>46162</v>
      </c>
      <c r="D1628" s="10">
        <v>42631</v>
      </c>
    </row>
    <row r="1629" spans="1:4">
      <c r="A1629" t="s">
        <v>5</v>
      </c>
      <c r="B1629" t="s">
        <v>176</v>
      </c>
      <c r="C1629" s="9">
        <v>46162</v>
      </c>
      <c r="D1629" s="10">
        <v>41040</v>
      </c>
    </row>
    <row r="1630" spans="1:4">
      <c r="A1630" t="s">
        <v>5</v>
      </c>
      <c r="B1630" t="s">
        <v>117</v>
      </c>
      <c r="C1630" s="9">
        <v>46162</v>
      </c>
      <c r="D1630" s="10">
        <v>33917</v>
      </c>
    </row>
    <row r="1631" spans="1:4">
      <c r="A1631" t="s">
        <v>5</v>
      </c>
      <c r="B1631" t="s">
        <v>110</v>
      </c>
      <c r="C1631" s="9">
        <v>46162</v>
      </c>
      <c r="D1631" s="10">
        <v>45527</v>
      </c>
    </row>
    <row r="1632" spans="1:4">
      <c r="A1632" t="s">
        <v>5</v>
      </c>
      <c r="B1632" t="s">
        <v>71</v>
      </c>
      <c r="C1632" s="9">
        <v>46162</v>
      </c>
      <c r="D1632" s="10">
        <v>36464</v>
      </c>
    </row>
    <row r="1633" spans="1:4">
      <c r="A1633" t="s">
        <v>27</v>
      </c>
      <c r="B1633" t="s">
        <v>247</v>
      </c>
      <c r="C1633" s="9">
        <v>46163</v>
      </c>
      <c r="D1633" s="10">
        <v>12402</v>
      </c>
    </row>
    <row r="1634" spans="1:4">
      <c r="A1634" t="s">
        <v>4</v>
      </c>
      <c r="B1634" t="s">
        <v>72</v>
      </c>
      <c r="C1634" s="9">
        <v>46163</v>
      </c>
      <c r="D1634" s="10">
        <v>22682</v>
      </c>
    </row>
    <row r="1635" spans="1:4">
      <c r="A1635" t="s">
        <v>4</v>
      </c>
      <c r="B1635" t="s">
        <v>68</v>
      </c>
      <c r="C1635" s="9">
        <v>46163</v>
      </c>
      <c r="D1635" s="10">
        <v>45903</v>
      </c>
    </row>
    <row r="1636" spans="1:4">
      <c r="A1636" t="s">
        <v>25</v>
      </c>
      <c r="B1636" t="s">
        <v>190</v>
      </c>
      <c r="C1636" s="9">
        <v>46163</v>
      </c>
      <c r="D1636" s="10">
        <v>16042</v>
      </c>
    </row>
    <row r="1637" spans="1:4">
      <c r="A1637" t="s">
        <v>26</v>
      </c>
      <c r="B1637" t="s">
        <v>216</v>
      </c>
      <c r="C1637" s="9">
        <v>46163</v>
      </c>
      <c r="D1637" s="10">
        <v>15406</v>
      </c>
    </row>
    <row r="1638" spans="1:4">
      <c r="A1638" t="s">
        <v>32</v>
      </c>
      <c r="B1638" t="s">
        <v>89</v>
      </c>
      <c r="C1638" s="9">
        <v>46163</v>
      </c>
      <c r="D1638" s="10">
        <v>12635</v>
      </c>
    </row>
    <row r="1639" spans="1:4">
      <c r="A1639" t="s">
        <v>29</v>
      </c>
      <c r="B1639" t="s">
        <v>254</v>
      </c>
      <c r="C1639" s="9">
        <v>46163</v>
      </c>
      <c r="D1639" s="10">
        <v>12194</v>
      </c>
    </row>
    <row r="1640" spans="1:4">
      <c r="A1640" t="s">
        <v>9</v>
      </c>
      <c r="B1640" t="s">
        <v>268</v>
      </c>
      <c r="C1640" s="9">
        <v>46163</v>
      </c>
      <c r="D1640" s="10">
        <v>32692</v>
      </c>
    </row>
    <row r="1641" spans="1:4">
      <c r="A1641" t="s">
        <v>9</v>
      </c>
      <c r="B1641" t="s">
        <v>259</v>
      </c>
      <c r="C1641" s="9">
        <v>46163</v>
      </c>
      <c r="D1641" s="10">
        <v>25933</v>
      </c>
    </row>
    <row r="1642" spans="1:4">
      <c r="A1642" t="s">
        <v>9</v>
      </c>
      <c r="B1642" t="s">
        <v>106</v>
      </c>
      <c r="C1642" s="9">
        <v>46163</v>
      </c>
      <c r="D1642" s="10">
        <v>37239</v>
      </c>
    </row>
    <row r="1643" spans="1:4">
      <c r="A1643" t="s">
        <v>9</v>
      </c>
      <c r="B1643" t="s">
        <v>186</v>
      </c>
      <c r="C1643" s="9">
        <v>46163</v>
      </c>
      <c r="D1643" s="10">
        <v>32534</v>
      </c>
    </row>
    <row r="1644" spans="1:4">
      <c r="A1644" t="s">
        <v>5</v>
      </c>
      <c r="B1644" t="s">
        <v>135</v>
      </c>
      <c r="C1644" s="9">
        <v>46163</v>
      </c>
      <c r="D1644" s="10">
        <v>41198</v>
      </c>
    </row>
    <row r="1645" spans="1:4">
      <c r="A1645" t="s">
        <v>5</v>
      </c>
      <c r="B1645" t="s">
        <v>95</v>
      </c>
      <c r="C1645" s="9">
        <v>46163</v>
      </c>
      <c r="D1645" s="10">
        <v>47176</v>
      </c>
    </row>
    <row r="1646" spans="1:4">
      <c r="A1646" t="s">
        <v>5</v>
      </c>
      <c r="B1646" t="s">
        <v>95</v>
      </c>
      <c r="C1646" s="9">
        <v>46163</v>
      </c>
      <c r="D1646" s="10">
        <v>49413</v>
      </c>
    </row>
    <row r="1647" spans="1:4">
      <c r="A1647" t="s">
        <v>5</v>
      </c>
      <c r="B1647" t="s">
        <v>198</v>
      </c>
      <c r="C1647" s="9">
        <v>46163</v>
      </c>
      <c r="D1647" s="10">
        <v>29293</v>
      </c>
    </row>
    <row r="1648" spans="1:4">
      <c r="A1648" t="s">
        <v>5</v>
      </c>
      <c r="B1648" t="s">
        <v>258</v>
      </c>
      <c r="C1648" s="9">
        <v>46163</v>
      </c>
      <c r="D1648" s="10">
        <v>46880</v>
      </c>
    </row>
    <row r="1649" spans="1:4">
      <c r="A1649" t="s">
        <v>4</v>
      </c>
      <c r="B1649" t="s">
        <v>165</v>
      </c>
      <c r="C1649" s="9">
        <v>46164</v>
      </c>
      <c r="D1649" s="10">
        <v>36175</v>
      </c>
    </row>
    <row r="1650" spans="1:4">
      <c r="A1650" t="s">
        <v>4</v>
      </c>
      <c r="B1650" t="s">
        <v>277</v>
      </c>
      <c r="C1650" s="9">
        <v>46164</v>
      </c>
      <c r="D1650" s="10">
        <v>29351</v>
      </c>
    </row>
    <row r="1651" spans="1:4">
      <c r="A1651" t="s">
        <v>4</v>
      </c>
      <c r="B1651" t="s">
        <v>194</v>
      </c>
      <c r="C1651" s="9">
        <v>46164</v>
      </c>
      <c r="D1651" s="10">
        <v>31720</v>
      </c>
    </row>
    <row r="1652" spans="1:4">
      <c r="A1652" t="s">
        <v>25</v>
      </c>
      <c r="B1652" t="s">
        <v>273</v>
      </c>
      <c r="C1652" s="9">
        <v>46164</v>
      </c>
      <c r="D1652" s="10">
        <v>18831</v>
      </c>
    </row>
    <row r="1653" spans="1:4">
      <c r="A1653" t="s">
        <v>6</v>
      </c>
      <c r="B1653" t="s">
        <v>101</v>
      </c>
      <c r="C1653" s="9">
        <v>46164</v>
      </c>
      <c r="D1653" s="10">
        <v>18902</v>
      </c>
    </row>
    <row r="1654" spans="1:4">
      <c r="A1654" t="s">
        <v>7</v>
      </c>
      <c r="B1654" t="s">
        <v>129</v>
      </c>
      <c r="C1654" s="9">
        <v>46164</v>
      </c>
      <c r="D1654" s="10">
        <v>26728</v>
      </c>
    </row>
    <row r="1655" spans="1:4">
      <c r="A1655" t="s">
        <v>9</v>
      </c>
      <c r="B1655" t="s">
        <v>81</v>
      </c>
      <c r="C1655" s="9">
        <v>46164</v>
      </c>
      <c r="D1655" s="10">
        <v>32143</v>
      </c>
    </row>
    <row r="1656" spans="1:4">
      <c r="A1656" t="s">
        <v>9</v>
      </c>
      <c r="B1656" t="s">
        <v>57</v>
      </c>
      <c r="C1656" s="9">
        <v>46164</v>
      </c>
      <c r="D1656" s="10">
        <v>30404</v>
      </c>
    </row>
    <row r="1657" spans="1:4">
      <c r="A1657" t="s">
        <v>9</v>
      </c>
      <c r="B1657" t="s">
        <v>133</v>
      </c>
      <c r="C1657" s="9">
        <v>46164</v>
      </c>
      <c r="D1657" s="10">
        <v>31006</v>
      </c>
    </row>
    <row r="1658" spans="1:4">
      <c r="A1658" t="s">
        <v>5</v>
      </c>
      <c r="B1658" t="s">
        <v>107</v>
      </c>
      <c r="C1658" s="9">
        <v>46164</v>
      </c>
      <c r="D1658" s="10">
        <v>37264</v>
      </c>
    </row>
    <row r="1659" spans="1:4">
      <c r="A1659" t="s">
        <v>5</v>
      </c>
      <c r="B1659" t="s">
        <v>94</v>
      </c>
      <c r="C1659" s="9">
        <v>46164</v>
      </c>
      <c r="D1659" s="10">
        <v>43356</v>
      </c>
    </row>
    <row r="1660" spans="1:4">
      <c r="A1660" t="s">
        <v>5</v>
      </c>
      <c r="B1660" t="s">
        <v>187</v>
      </c>
      <c r="C1660" s="9">
        <v>46164</v>
      </c>
      <c r="D1660" s="10">
        <v>33910</v>
      </c>
    </row>
    <row r="1661" spans="1:4">
      <c r="A1661" t="s">
        <v>5</v>
      </c>
      <c r="B1661" t="s">
        <v>109</v>
      </c>
      <c r="C1661" s="9">
        <v>46164</v>
      </c>
      <c r="D1661" s="10">
        <v>46389</v>
      </c>
    </row>
    <row r="1662" spans="1:4">
      <c r="A1662" t="s">
        <v>5</v>
      </c>
      <c r="B1662" t="s">
        <v>118</v>
      </c>
      <c r="C1662" s="9">
        <v>46164</v>
      </c>
      <c r="D1662" s="10">
        <v>49280</v>
      </c>
    </row>
    <row r="1663" spans="1:4">
      <c r="A1663" t="s">
        <v>5</v>
      </c>
      <c r="B1663" t="s">
        <v>71</v>
      </c>
      <c r="C1663" s="9">
        <v>46164</v>
      </c>
      <c r="D1663" s="10">
        <v>39828</v>
      </c>
    </row>
    <row r="1664" spans="1:4">
      <c r="A1664" t="s">
        <v>25</v>
      </c>
      <c r="B1664" t="s">
        <v>147</v>
      </c>
      <c r="C1664" s="9">
        <v>46165</v>
      </c>
      <c r="D1664" s="10">
        <v>17888</v>
      </c>
    </row>
    <row r="1665" spans="1:4">
      <c r="A1665" t="s">
        <v>25</v>
      </c>
      <c r="B1665" t="s">
        <v>240</v>
      </c>
      <c r="C1665" s="9">
        <v>46165</v>
      </c>
      <c r="D1665" s="10">
        <v>31784</v>
      </c>
    </row>
    <row r="1666" spans="1:4">
      <c r="A1666" t="s">
        <v>8</v>
      </c>
      <c r="B1666" t="s">
        <v>248</v>
      </c>
      <c r="C1666" s="9">
        <v>46165</v>
      </c>
      <c r="D1666" s="10">
        <v>13218</v>
      </c>
    </row>
    <row r="1667" spans="1:4">
      <c r="A1667" t="s">
        <v>7</v>
      </c>
      <c r="B1667" t="s">
        <v>128</v>
      </c>
      <c r="C1667" s="9">
        <v>46165</v>
      </c>
      <c r="D1667" s="10">
        <v>37240</v>
      </c>
    </row>
    <row r="1668" spans="1:4">
      <c r="A1668" t="s">
        <v>5</v>
      </c>
      <c r="B1668" t="s">
        <v>66</v>
      </c>
      <c r="C1668" s="9">
        <v>46165</v>
      </c>
      <c r="D1668" s="10">
        <v>31814</v>
      </c>
    </row>
    <row r="1669" spans="1:4">
      <c r="A1669" t="s">
        <v>5</v>
      </c>
      <c r="B1669" t="s">
        <v>77</v>
      </c>
      <c r="C1669" s="9">
        <v>46165</v>
      </c>
      <c r="D1669" s="10">
        <v>44790</v>
      </c>
    </row>
    <row r="1670" spans="1:4">
      <c r="A1670" t="s">
        <v>5</v>
      </c>
      <c r="B1670" t="s">
        <v>152</v>
      </c>
      <c r="C1670" s="9">
        <v>46165</v>
      </c>
      <c r="D1670" s="10">
        <v>39283</v>
      </c>
    </row>
    <row r="1671" spans="1:4">
      <c r="A1671" t="s">
        <v>5</v>
      </c>
      <c r="B1671" t="s">
        <v>68</v>
      </c>
      <c r="C1671" s="9">
        <v>46165</v>
      </c>
      <c r="D1671" s="10">
        <v>42004</v>
      </c>
    </row>
    <row r="1672" spans="1:4">
      <c r="A1672" t="s">
        <v>25</v>
      </c>
      <c r="B1672" t="s">
        <v>86</v>
      </c>
      <c r="C1672" s="9">
        <v>46166</v>
      </c>
      <c r="D1672" s="10">
        <v>14077</v>
      </c>
    </row>
    <row r="1673" spans="1:4">
      <c r="A1673" t="s">
        <v>26</v>
      </c>
      <c r="B1673" t="s">
        <v>149</v>
      </c>
      <c r="C1673" s="9">
        <v>46166</v>
      </c>
      <c r="D1673" s="10">
        <v>14345</v>
      </c>
    </row>
    <row r="1674" spans="1:4">
      <c r="A1674" t="s">
        <v>26</v>
      </c>
      <c r="B1674" t="s">
        <v>73</v>
      </c>
      <c r="C1674" s="9">
        <v>46166</v>
      </c>
      <c r="D1674" s="10">
        <v>11221</v>
      </c>
    </row>
    <row r="1675" spans="1:4">
      <c r="A1675" t="s">
        <v>6</v>
      </c>
      <c r="B1675" t="s">
        <v>249</v>
      </c>
      <c r="C1675" s="9">
        <v>46166</v>
      </c>
      <c r="D1675" s="10">
        <v>18487</v>
      </c>
    </row>
    <row r="1676" spans="1:4">
      <c r="A1676" t="s">
        <v>7</v>
      </c>
      <c r="B1676" t="s">
        <v>100</v>
      </c>
      <c r="C1676" s="9">
        <v>46166</v>
      </c>
      <c r="D1676" s="10">
        <v>8104</v>
      </c>
    </row>
    <row r="1677" spans="1:4">
      <c r="A1677" t="s">
        <v>7</v>
      </c>
      <c r="B1677" t="s">
        <v>163</v>
      </c>
      <c r="C1677" s="9">
        <v>46166</v>
      </c>
      <c r="D1677" s="10">
        <v>28073</v>
      </c>
    </row>
    <row r="1678" spans="1:4">
      <c r="A1678" t="s">
        <v>5</v>
      </c>
      <c r="B1678" t="s">
        <v>67</v>
      </c>
      <c r="C1678" s="9">
        <v>46166</v>
      </c>
      <c r="D1678" s="10">
        <v>39936</v>
      </c>
    </row>
    <row r="1679" spans="1:4">
      <c r="A1679" t="s">
        <v>5</v>
      </c>
      <c r="B1679" t="s">
        <v>141</v>
      </c>
      <c r="C1679" s="9">
        <v>46166</v>
      </c>
      <c r="D1679" s="10">
        <v>34813</v>
      </c>
    </row>
    <row r="1680" spans="1:4">
      <c r="A1680" t="s">
        <v>5</v>
      </c>
      <c r="B1680" t="s">
        <v>77</v>
      </c>
      <c r="C1680" s="9">
        <v>46166</v>
      </c>
      <c r="D1680" s="10">
        <v>33839</v>
      </c>
    </row>
    <row r="1681" spans="1:4">
      <c r="A1681" t="s">
        <v>5</v>
      </c>
      <c r="B1681" t="s">
        <v>176</v>
      </c>
      <c r="C1681" s="9">
        <v>46166</v>
      </c>
      <c r="D1681" s="10">
        <v>42126</v>
      </c>
    </row>
    <row r="1682" spans="1:4">
      <c r="A1682" t="s">
        <v>5</v>
      </c>
      <c r="B1682" t="s">
        <v>230</v>
      </c>
      <c r="C1682" s="9">
        <v>46166</v>
      </c>
      <c r="D1682" s="10">
        <v>43265</v>
      </c>
    </row>
    <row r="1683" spans="1:4">
      <c r="A1683" t="s">
        <v>5</v>
      </c>
      <c r="B1683" t="s">
        <v>109</v>
      </c>
      <c r="C1683" s="9">
        <v>46166</v>
      </c>
      <c r="D1683" s="10">
        <v>41502</v>
      </c>
    </row>
    <row r="1684" spans="1:4">
      <c r="A1684" t="s">
        <v>5</v>
      </c>
      <c r="B1684" t="s">
        <v>118</v>
      </c>
      <c r="C1684" s="9">
        <v>46166</v>
      </c>
      <c r="D1684" s="10">
        <v>42088</v>
      </c>
    </row>
    <row r="1685" spans="1:4">
      <c r="A1685" t="s">
        <v>5</v>
      </c>
      <c r="B1685" t="s">
        <v>79</v>
      </c>
      <c r="C1685" s="9">
        <v>46166</v>
      </c>
      <c r="D1685" s="10">
        <v>32903</v>
      </c>
    </row>
    <row r="1686" spans="1:4">
      <c r="A1686" t="s">
        <v>35</v>
      </c>
      <c r="B1686" t="s">
        <v>246</v>
      </c>
      <c r="C1686" s="9">
        <v>46167</v>
      </c>
      <c r="D1686" s="10">
        <v>22710</v>
      </c>
    </row>
    <row r="1687" spans="1:4">
      <c r="A1687" t="s">
        <v>31</v>
      </c>
      <c r="B1687" t="s">
        <v>236</v>
      </c>
      <c r="C1687" s="9">
        <v>46167</v>
      </c>
      <c r="D1687" s="10">
        <v>20571</v>
      </c>
    </row>
    <row r="1688" spans="1:4">
      <c r="A1688" t="s">
        <v>26</v>
      </c>
      <c r="B1688" t="s">
        <v>59</v>
      </c>
      <c r="C1688" s="9">
        <v>46167</v>
      </c>
      <c r="D1688" s="10">
        <v>21767</v>
      </c>
    </row>
    <row r="1689" spans="1:4">
      <c r="A1689" t="s">
        <v>8</v>
      </c>
      <c r="B1689" t="s">
        <v>226</v>
      </c>
      <c r="C1689" s="9">
        <v>46167</v>
      </c>
      <c r="D1689" s="10">
        <v>11771</v>
      </c>
    </row>
    <row r="1690" spans="1:4">
      <c r="A1690" t="s">
        <v>8</v>
      </c>
      <c r="B1690" t="s">
        <v>183</v>
      </c>
      <c r="C1690" s="9">
        <v>46167</v>
      </c>
      <c r="D1690" s="10">
        <v>17125</v>
      </c>
    </row>
    <row r="1691" spans="1:4">
      <c r="A1691" t="s">
        <v>7</v>
      </c>
      <c r="B1691" t="s">
        <v>266</v>
      </c>
      <c r="C1691" s="9">
        <v>46167</v>
      </c>
      <c r="D1691" s="10">
        <v>9127</v>
      </c>
    </row>
    <row r="1692" spans="1:4">
      <c r="A1692" t="s">
        <v>9</v>
      </c>
      <c r="B1692" t="s">
        <v>102</v>
      </c>
      <c r="C1692" s="9">
        <v>46167</v>
      </c>
      <c r="D1692" s="10">
        <v>32989</v>
      </c>
    </row>
    <row r="1693" spans="1:4">
      <c r="A1693" t="s">
        <v>9</v>
      </c>
      <c r="B1693" t="s">
        <v>291</v>
      </c>
      <c r="C1693" s="9">
        <v>46167</v>
      </c>
      <c r="D1693" s="10">
        <v>33699</v>
      </c>
    </row>
    <row r="1694" spans="1:4">
      <c r="A1694" t="s">
        <v>5</v>
      </c>
      <c r="B1694" t="s">
        <v>77</v>
      </c>
      <c r="C1694" s="9">
        <v>46167</v>
      </c>
      <c r="D1694" s="10">
        <v>32005</v>
      </c>
    </row>
    <row r="1695" spans="1:4">
      <c r="A1695" t="s">
        <v>5</v>
      </c>
      <c r="B1695" t="s">
        <v>230</v>
      </c>
      <c r="C1695" s="9">
        <v>46167</v>
      </c>
      <c r="D1695" s="10">
        <v>43452</v>
      </c>
    </row>
    <row r="1696" spans="1:4">
      <c r="A1696" t="s">
        <v>5</v>
      </c>
      <c r="B1696" t="s">
        <v>108</v>
      </c>
      <c r="C1696" s="9">
        <v>46167</v>
      </c>
      <c r="D1696" s="10">
        <v>35793</v>
      </c>
    </row>
    <row r="1697" spans="1:4">
      <c r="A1697" t="s">
        <v>5</v>
      </c>
      <c r="B1697" t="s">
        <v>258</v>
      </c>
      <c r="C1697" s="9">
        <v>46167</v>
      </c>
      <c r="D1697" s="10">
        <v>36796</v>
      </c>
    </row>
    <row r="1698" spans="1:4">
      <c r="A1698" t="s">
        <v>5</v>
      </c>
      <c r="B1698" t="s">
        <v>70</v>
      </c>
      <c r="C1698" s="9">
        <v>46167</v>
      </c>
      <c r="D1698" s="10">
        <v>50426</v>
      </c>
    </row>
    <row r="1699" spans="1:4">
      <c r="A1699" t="s">
        <v>4</v>
      </c>
      <c r="B1699" t="s">
        <v>153</v>
      </c>
      <c r="C1699" s="9">
        <v>46168</v>
      </c>
      <c r="D1699" s="10">
        <v>41242</v>
      </c>
    </row>
    <row r="1700" spans="1:4">
      <c r="A1700" t="s">
        <v>6</v>
      </c>
      <c r="B1700" t="s">
        <v>113</v>
      </c>
      <c r="C1700" s="9">
        <v>46168</v>
      </c>
      <c r="D1700" s="10">
        <v>18406</v>
      </c>
    </row>
    <row r="1701" spans="1:4">
      <c r="A1701" t="s">
        <v>9</v>
      </c>
      <c r="B1701" t="s">
        <v>64</v>
      </c>
      <c r="C1701" s="9">
        <v>46168</v>
      </c>
      <c r="D1701" s="10">
        <v>21657</v>
      </c>
    </row>
    <row r="1702" spans="1:4">
      <c r="A1702" t="s">
        <v>9</v>
      </c>
      <c r="B1702" t="s">
        <v>283</v>
      </c>
      <c r="C1702" s="9">
        <v>46168</v>
      </c>
      <c r="D1702" s="10">
        <v>52661</v>
      </c>
    </row>
    <row r="1703" spans="1:4">
      <c r="A1703" t="s">
        <v>5</v>
      </c>
      <c r="B1703" t="s">
        <v>136</v>
      </c>
      <c r="C1703" s="9">
        <v>46168</v>
      </c>
      <c r="D1703" s="10">
        <v>29799</v>
      </c>
    </row>
    <row r="1704" spans="1:4">
      <c r="A1704" t="s">
        <v>5</v>
      </c>
      <c r="B1704" t="s">
        <v>136</v>
      </c>
      <c r="C1704" s="9">
        <v>46168</v>
      </c>
      <c r="D1704" s="10">
        <v>48045</v>
      </c>
    </row>
    <row r="1705" spans="1:4">
      <c r="A1705" t="s">
        <v>5</v>
      </c>
      <c r="B1705" t="s">
        <v>210</v>
      </c>
      <c r="C1705" s="9">
        <v>46168</v>
      </c>
      <c r="D1705" s="10">
        <v>45530</v>
      </c>
    </row>
    <row r="1706" spans="1:4">
      <c r="A1706" t="s">
        <v>4</v>
      </c>
      <c r="B1706" t="s">
        <v>141</v>
      </c>
      <c r="C1706" s="9">
        <v>46169</v>
      </c>
      <c r="D1706" s="10">
        <v>35394</v>
      </c>
    </row>
    <row r="1707" spans="1:4">
      <c r="A1707" t="s">
        <v>8</v>
      </c>
      <c r="B1707" t="s">
        <v>139</v>
      </c>
      <c r="C1707" s="9">
        <v>46169</v>
      </c>
      <c r="D1707" s="10">
        <v>16342</v>
      </c>
    </row>
    <row r="1708" spans="1:4">
      <c r="A1708" t="s">
        <v>6</v>
      </c>
      <c r="B1708" t="s">
        <v>208</v>
      </c>
      <c r="C1708" s="9">
        <v>46169</v>
      </c>
      <c r="D1708" s="10">
        <v>22096</v>
      </c>
    </row>
    <row r="1709" spans="1:4">
      <c r="A1709" t="s">
        <v>29</v>
      </c>
      <c r="B1709" t="s">
        <v>229</v>
      </c>
      <c r="C1709" s="9">
        <v>46169</v>
      </c>
      <c r="D1709" s="10">
        <v>5200</v>
      </c>
    </row>
    <row r="1710" spans="1:4">
      <c r="A1710" t="s">
        <v>29</v>
      </c>
      <c r="B1710" t="s">
        <v>114</v>
      </c>
      <c r="C1710" s="9">
        <v>46169</v>
      </c>
      <c r="D1710" s="10">
        <v>5200</v>
      </c>
    </row>
    <row r="1711" spans="1:4">
      <c r="A1711" t="s">
        <v>9</v>
      </c>
      <c r="B1711" t="s">
        <v>92</v>
      </c>
      <c r="C1711" s="9">
        <v>46169</v>
      </c>
      <c r="D1711" s="10">
        <v>36231</v>
      </c>
    </row>
    <row r="1712" spans="1:4">
      <c r="A1712" t="s">
        <v>9</v>
      </c>
      <c r="B1712" t="s">
        <v>94</v>
      </c>
      <c r="C1712" s="9">
        <v>46169</v>
      </c>
      <c r="D1712" s="10">
        <v>43373</v>
      </c>
    </row>
    <row r="1713" spans="1:4">
      <c r="A1713" t="s">
        <v>9</v>
      </c>
      <c r="B1713" t="s">
        <v>191</v>
      </c>
      <c r="C1713" s="9">
        <v>46169</v>
      </c>
      <c r="D1713" s="10">
        <v>32733</v>
      </c>
    </row>
    <row r="1714" spans="1:4">
      <c r="A1714" t="s">
        <v>9</v>
      </c>
      <c r="B1714" t="s">
        <v>132</v>
      </c>
      <c r="C1714" s="9">
        <v>46169</v>
      </c>
      <c r="D1714" s="10">
        <v>34475</v>
      </c>
    </row>
    <row r="1715" spans="1:4">
      <c r="A1715" t="s">
        <v>5</v>
      </c>
      <c r="B1715" t="s">
        <v>210</v>
      </c>
      <c r="C1715" s="9">
        <v>46169</v>
      </c>
      <c r="D1715" s="10">
        <v>37557</v>
      </c>
    </row>
    <row r="1716" spans="1:4">
      <c r="A1716" t="s">
        <v>4</v>
      </c>
      <c r="B1716" t="s">
        <v>214</v>
      </c>
      <c r="C1716" s="9">
        <v>46170</v>
      </c>
      <c r="D1716" s="10">
        <v>28628</v>
      </c>
    </row>
    <row r="1717" spans="1:4">
      <c r="A1717" t="s">
        <v>4</v>
      </c>
      <c r="B1717" t="s">
        <v>119</v>
      </c>
      <c r="C1717" s="9">
        <v>46170</v>
      </c>
      <c r="D1717" s="10">
        <v>32159</v>
      </c>
    </row>
    <row r="1718" spans="1:4">
      <c r="A1718" t="s">
        <v>4</v>
      </c>
      <c r="B1718" t="s">
        <v>250</v>
      </c>
      <c r="C1718" s="9">
        <v>46170</v>
      </c>
      <c r="D1718" s="10">
        <v>39857</v>
      </c>
    </row>
    <row r="1719" spans="1:4">
      <c r="A1719" t="s">
        <v>31</v>
      </c>
      <c r="B1719" t="s">
        <v>82</v>
      </c>
      <c r="C1719" s="9">
        <v>46170</v>
      </c>
      <c r="D1719" s="10">
        <v>5200</v>
      </c>
    </row>
    <row r="1720" spans="1:4">
      <c r="A1720" t="s">
        <v>25</v>
      </c>
      <c r="B1720" t="s">
        <v>181</v>
      </c>
      <c r="C1720" s="9">
        <v>46170</v>
      </c>
      <c r="D1720" s="10">
        <v>31204</v>
      </c>
    </row>
    <row r="1721" spans="1:4">
      <c r="A1721" t="s">
        <v>29</v>
      </c>
      <c r="B1721" t="s">
        <v>281</v>
      </c>
      <c r="C1721" s="9">
        <v>46170</v>
      </c>
      <c r="D1721" s="10">
        <v>8678</v>
      </c>
    </row>
    <row r="1722" spans="1:4">
      <c r="A1722" t="s">
        <v>5</v>
      </c>
      <c r="B1722" t="s">
        <v>168</v>
      </c>
      <c r="C1722" s="9">
        <v>46170</v>
      </c>
      <c r="D1722" s="10">
        <v>31050</v>
      </c>
    </row>
    <row r="1723" spans="1:4">
      <c r="A1723" t="s">
        <v>5</v>
      </c>
      <c r="B1723" t="s">
        <v>109</v>
      </c>
      <c r="C1723" s="9">
        <v>46170</v>
      </c>
      <c r="D1723" s="10">
        <v>49674</v>
      </c>
    </row>
    <row r="1724" spans="1:4">
      <c r="A1724" t="s">
        <v>35</v>
      </c>
      <c r="B1724" t="s">
        <v>80</v>
      </c>
      <c r="C1724" s="9">
        <v>46171</v>
      </c>
      <c r="D1724" s="10">
        <v>8917</v>
      </c>
    </row>
    <row r="1725" spans="1:4">
      <c r="A1725" t="s">
        <v>27</v>
      </c>
      <c r="B1725" t="s">
        <v>200</v>
      </c>
      <c r="C1725" s="9">
        <v>46171</v>
      </c>
      <c r="D1725" s="10">
        <v>5200</v>
      </c>
    </row>
    <row r="1726" spans="1:4">
      <c r="A1726" t="s">
        <v>4</v>
      </c>
      <c r="B1726" t="s">
        <v>109</v>
      </c>
      <c r="C1726" s="9">
        <v>46171</v>
      </c>
      <c r="D1726" s="10">
        <v>48225</v>
      </c>
    </row>
    <row r="1727" spans="1:4">
      <c r="A1727" t="s">
        <v>31</v>
      </c>
      <c r="B1727" t="s">
        <v>83</v>
      </c>
      <c r="C1727" s="9">
        <v>46171</v>
      </c>
      <c r="D1727" s="10">
        <v>26563</v>
      </c>
    </row>
    <row r="1728" spans="1:4">
      <c r="A1728" t="s">
        <v>25</v>
      </c>
      <c r="B1728" t="s">
        <v>184</v>
      </c>
      <c r="C1728" s="9">
        <v>46171</v>
      </c>
      <c r="D1728" s="10">
        <v>18748</v>
      </c>
    </row>
    <row r="1729" spans="1:4">
      <c r="A1729" t="s">
        <v>34</v>
      </c>
      <c r="B1729" t="s">
        <v>140</v>
      </c>
      <c r="C1729" s="9">
        <v>46171</v>
      </c>
      <c r="D1729" s="10">
        <v>12701</v>
      </c>
    </row>
    <row r="1730" spans="1:4">
      <c r="A1730" t="s">
        <v>29</v>
      </c>
      <c r="B1730" t="s">
        <v>275</v>
      </c>
      <c r="C1730" s="9">
        <v>46171</v>
      </c>
      <c r="D1730" s="10">
        <v>16492</v>
      </c>
    </row>
    <row r="1731" spans="1:4">
      <c r="A1731" t="s">
        <v>7</v>
      </c>
      <c r="B1731" t="s">
        <v>219</v>
      </c>
      <c r="C1731" s="9">
        <v>46171</v>
      </c>
      <c r="D1731" s="10">
        <v>21789</v>
      </c>
    </row>
    <row r="1732" spans="1:4">
      <c r="A1732" t="s">
        <v>9</v>
      </c>
      <c r="B1732" t="s">
        <v>102</v>
      </c>
      <c r="C1732" s="9">
        <v>46171</v>
      </c>
      <c r="D1732" s="10">
        <v>33627</v>
      </c>
    </row>
    <row r="1733" spans="1:4">
      <c r="A1733" t="s">
        <v>5</v>
      </c>
      <c r="B1733" t="s">
        <v>121</v>
      </c>
      <c r="C1733" s="9">
        <v>46171</v>
      </c>
      <c r="D1733" s="10">
        <v>42195</v>
      </c>
    </row>
    <row r="1734" spans="1:4">
      <c r="A1734" t="s">
        <v>5</v>
      </c>
      <c r="B1734" t="s">
        <v>169</v>
      </c>
      <c r="C1734" s="9">
        <v>46171</v>
      </c>
      <c r="D1734" s="10">
        <v>39310</v>
      </c>
    </row>
    <row r="1735" spans="1:4">
      <c r="A1735" t="s">
        <v>5</v>
      </c>
      <c r="B1735" t="s">
        <v>188</v>
      </c>
      <c r="C1735" s="9">
        <v>46171</v>
      </c>
      <c r="D1735" s="10">
        <v>30806</v>
      </c>
    </row>
    <row r="1736" spans="1:4">
      <c r="A1736" t="s">
        <v>4</v>
      </c>
      <c r="B1736" t="s">
        <v>123</v>
      </c>
      <c r="C1736" s="9">
        <v>46172</v>
      </c>
      <c r="D1736" s="10">
        <v>12560</v>
      </c>
    </row>
    <row r="1737" spans="1:4">
      <c r="A1737" t="s">
        <v>4</v>
      </c>
      <c r="B1737" t="s">
        <v>257</v>
      </c>
      <c r="C1737" s="9">
        <v>46172</v>
      </c>
      <c r="D1737" s="10">
        <v>24438</v>
      </c>
    </row>
    <row r="1738" spans="1:4">
      <c r="A1738" t="s">
        <v>31</v>
      </c>
      <c r="B1738" t="s">
        <v>155</v>
      </c>
      <c r="C1738" s="9">
        <v>46172</v>
      </c>
      <c r="D1738" s="10">
        <v>14124</v>
      </c>
    </row>
    <row r="1739" spans="1:4">
      <c r="A1739" t="s">
        <v>26</v>
      </c>
      <c r="B1739" t="s">
        <v>84</v>
      </c>
      <c r="C1739" s="9">
        <v>46172</v>
      </c>
      <c r="D1739" s="10">
        <v>14417</v>
      </c>
    </row>
    <row r="1740" spans="1:4">
      <c r="A1740" t="s">
        <v>8</v>
      </c>
      <c r="B1740" t="s">
        <v>182</v>
      </c>
      <c r="C1740" s="9">
        <v>46172</v>
      </c>
      <c r="D1740" s="10">
        <v>5200</v>
      </c>
    </row>
    <row r="1741" spans="1:4">
      <c r="A1741" t="s">
        <v>8</v>
      </c>
      <c r="B1741" t="s">
        <v>252</v>
      </c>
      <c r="C1741" s="9">
        <v>46172</v>
      </c>
      <c r="D1741" s="10">
        <v>16863</v>
      </c>
    </row>
    <row r="1742" spans="1:4">
      <c r="A1742" t="s">
        <v>6</v>
      </c>
      <c r="B1742" t="s">
        <v>274</v>
      </c>
      <c r="C1742" s="9">
        <v>46172</v>
      </c>
      <c r="D1742" s="10">
        <v>21229</v>
      </c>
    </row>
    <row r="1743" spans="1:4">
      <c r="A1743" t="s">
        <v>6</v>
      </c>
      <c r="B1743" t="s">
        <v>172</v>
      </c>
      <c r="C1743" s="9">
        <v>46172</v>
      </c>
      <c r="D1743" s="10">
        <v>19480</v>
      </c>
    </row>
    <row r="1744" spans="1:4">
      <c r="A1744" t="s">
        <v>7</v>
      </c>
      <c r="B1744" t="s">
        <v>220</v>
      </c>
      <c r="C1744" s="9">
        <v>46172</v>
      </c>
      <c r="D1744" s="10">
        <v>25618</v>
      </c>
    </row>
    <row r="1745" spans="1:4">
      <c r="A1745" t="s">
        <v>9</v>
      </c>
      <c r="B1745" t="s">
        <v>222</v>
      </c>
      <c r="C1745" s="9">
        <v>46172</v>
      </c>
      <c r="D1745" s="10">
        <v>25713</v>
      </c>
    </row>
    <row r="1746" spans="1:4">
      <c r="A1746" t="s">
        <v>5</v>
      </c>
      <c r="B1746" t="s">
        <v>69</v>
      </c>
      <c r="C1746" s="9">
        <v>46172</v>
      </c>
      <c r="D1746" s="10">
        <v>35796</v>
      </c>
    </row>
    <row r="1747" spans="1:4">
      <c r="A1747" t="s">
        <v>5</v>
      </c>
      <c r="B1747" t="s">
        <v>71</v>
      </c>
      <c r="C1747" s="9">
        <v>46172</v>
      </c>
      <c r="D1747" s="10">
        <v>50011</v>
      </c>
    </row>
    <row r="1748" spans="1:4">
      <c r="A1748" t="s">
        <v>26</v>
      </c>
      <c r="B1748" t="s">
        <v>251</v>
      </c>
      <c r="C1748" s="9">
        <v>46173</v>
      </c>
      <c r="D1748" s="10">
        <v>5200</v>
      </c>
    </row>
    <row r="1749" spans="1:4">
      <c r="A1749" t="s">
        <v>30</v>
      </c>
      <c r="B1749" t="s">
        <v>157</v>
      </c>
      <c r="C1749" s="9">
        <v>46173</v>
      </c>
      <c r="D1749" s="10">
        <v>12462</v>
      </c>
    </row>
    <row r="1750" spans="1:4">
      <c r="A1750" t="s">
        <v>6</v>
      </c>
      <c r="B1750" t="s">
        <v>233</v>
      </c>
      <c r="C1750" s="9">
        <v>46173</v>
      </c>
      <c r="D1750" s="10">
        <v>20368</v>
      </c>
    </row>
    <row r="1751" spans="1:4">
      <c r="A1751" t="s">
        <v>6</v>
      </c>
      <c r="B1751" t="s">
        <v>105</v>
      </c>
      <c r="C1751" s="9">
        <v>46173</v>
      </c>
      <c r="D1751" s="10">
        <v>13318</v>
      </c>
    </row>
    <row r="1752" spans="1:4">
      <c r="A1752" t="s">
        <v>6</v>
      </c>
      <c r="B1752" t="s">
        <v>270</v>
      </c>
      <c r="C1752" s="9">
        <v>46173</v>
      </c>
      <c r="D1752" s="10">
        <v>31816</v>
      </c>
    </row>
    <row r="1753" spans="1:4">
      <c r="A1753" t="s">
        <v>6</v>
      </c>
      <c r="B1753" t="s">
        <v>74</v>
      </c>
      <c r="C1753" s="9">
        <v>46173</v>
      </c>
      <c r="D1753" s="10">
        <v>20861</v>
      </c>
    </row>
    <row r="1754" spans="1:4">
      <c r="A1754" t="s">
        <v>9</v>
      </c>
      <c r="B1754" t="s">
        <v>63</v>
      </c>
      <c r="C1754" s="9">
        <v>46173</v>
      </c>
      <c r="D1754" s="10">
        <v>26070</v>
      </c>
    </row>
    <row r="1755" spans="1:4">
      <c r="A1755" t="s">
        <v>5</v>
      </c>
      <c r="B1755" t="s">
        <v>175</v>
      </c>
      <c r="C1755" s="9">
        <v>46173</v>
      </c>
      <c r="D1755" s="10">
        <v>40619</v>
      </c>
    </row>
    <row r="1756" spans="1:4">
      <c r="A1756" t="s">
        <v>5</v>
      </c>
      <c r="B1756" t="s">
        <v>168</v>
      </c>
      <c r="C1756" s="9">
        <v>46173</v>
      </c>
      <c r="D1756" s="10">
        <v>42770</v>
      </c>
    </row>
    <row r="1757" spans="1:4">
      <c r="A1757" t="s">
        <v>5</v>
      </c>
      <c r="B1757" t="s">
        <v>178</v>
      </c>
      <c r="C1757" s="9">
        <v>46173</v>
      </c>
      <c r="D1757" s="10">
        <v>40346</v>
      </c>
    </row>
    <row r="1758" spans="1:4">
      <c r="A1758" t="s">
        <v>5</v>
      </c>
      <c r="B1758" t="s">
        <v>179</v>
      </c>
      <c r="C1758" s="9">
        <v>46173</v>
      </c>
      <c r="D1758" s="10">
        <v>49803</v>
      </c>
    </row>
    <row r="1759" spans="1:4">
      <c r="A1759" t="s">
        <v>4</v>
      </c>
      <c r="B1759" t="s">
        <v>231</v>
      </c>
      <c r="C1759" s="9">
        <v>46174</v>
      </c>
      <c r="D1759" s="10">
        <v>29939</v>
      </c>
    </row>
    <row r="1760" spans="1:4">
      <c r="A1760" t="s">
        <v>4</v>
      </c>
      <c r="B1760" t="s">
        <v>123</v>
      </c>
      <c r="C1760" s="9">
        <v>46174</v>
      </c>
      <c r="D1760" s="10">
        <v>35726</v>
      </c>
    </row>
    <row r="1761" spans="1:4">
      <c r="A1761" t="s">
        <v>25</v>
      </c>
      <c r="B1761" t="s">
        <v>171</v>
      </c>
      <c r="C1761" s="9">
        <v>46174</v>
      </c>
      <c r="D1761" s="10">
        <v>14471</v>
      </c>
    </row>
    <row r="1762" spans="1:4">
      <c r="A1762" t="s">
        <v>30</v>
      </c>
      <c r="B1762" t="s">
        <v>288</v>
      </c>
      <c r="C1762" s="9">
        <v>46174</v>
      </c>
      <c r="D1762" s="10">
        <v>13113</v>
      </c>
    </row>
    <row r="1763" spans="1:4">
      <c r="A1763" t="s">
        <v>9</v>
      </c>
      <c r="B1763" t="s">
        <v>222</v>
      </c>
      <c r="C1763" s="9">
        <v>46174</v>
      </c>
      <c r="D1763" s="10">
        <v>42475</v>
      </c>
    </row>
    <row r="1764" spans="1:4">
      <c r="A1764" t="s">
        <v>5</v>
      </c>
      <c r="B1764" t="s">
        <v>66</v>
      </c>
      <c r="C1764" s="9">
        <v>46174</v>
      </c>
      <c r="D1764" s="10">
        <v>35717</v>
      </c>
    </row>
    <row r="1765" spans="1:4">
      <c r="A1765" t="s">
        <v>5</v>
      </c>
      <c r="B1765" t="s">
        <v>118</v>
      </c>
      <c r="C1765" s="9">
        <v>46174</v>
      </c>
      <c r="D1765" s="10">
        <v>40622</v>
      </c>
    </row>
    <row r="1766" spans="1:4">
      <c r="A1766" t="s">
        <v>4</v>
      </c>
      <c r="B1766" t="s">
        <v>250</v>
      </c>
      <c r="C1766" s="9">
        <v>46175</v>
      </c>
      <c r="D1766" s="10">
        <v>40443</v>
      </c>
    </row>
    <row r="1767" spans="1:4">
      <c r="A1767" t="s">
        <v>25</v>
      </c>
      <c r="B1767" t="s">
        <v>242</v>
      </c>
      <c r="C1767" s="9">
        <v>46175</v>
      </c>
      <c r="D1767" s="10">
        <v>11828</v>
      </c>
    </row>
    <row r="1768" spans="1:4">
      <c r="A1768" t="s">
        <v>7</v>
      </c>
      <c r="B1768" t="s">
        <v>245</v>
      </c>
      <c r="C1768" s="9">
        <v>46175</v>
      </c>
      <c r="D1768" s="10">
        <v>32720</v>
      </c>
    </row>
    <row r="1769" spans="1:4">
      <c r="A1769" t="s">
        <v>9</v>
      </c>
      <c r="B1769" t="s">
        <v>92</v>
      </c>
      <c r="C1769" s="9">
        <v>46175</v>
      </c>
      <c r="D1769" s="10">
        <v>33376</v>
      </c>
    </row>
    <row r="1770" spans="1:4">
      <c r="A1770" t="s">
        <v>9</v>
      </c>
      <c r="B1770" t="s">
        <v>106</v>
      </c>
      <c r="C1770" s="9">
        <v>46175</v>
      </c>
      <c r="D1770" s="10">
        <v>33089</v>
      </c>
    </row>
    <row r="1771" spans="1:4">
      <c r="A1771" t="s">
        <v>5</v>
      </c>
      <c r="B1771" t="s">
        <v>116</v>
      </c>
      <c r="C1771" s="9">
        <v>46175</v>
      </c>
      <c r="D1771" s="10">
        <v>38072</v>
      </c>
    </row>
    <row r="1772" spans="1:4">
      <c r="A1772" t="s">
        <v>5</v>
      </c>
      <c r="B1772" t="s">
        <v>67</v>
      </c>
      <c r="C1772" s="9">
        <v>46175</v>
      </c>
      <c r="D1772" s="10">
        <v>49375</v>
      </c>
    </row>
    <row r="1773" spans="1:4">
      <c r="A1773" t="s">
        <v>5</v>
      </c>
      <c r="B1773" t="s">
        <v>67</v>
      </c>
      <c r="C1773" s="9">
        <v>46175</v>
      </c>
      <c r="D1773" s="10">
        <v>53764</v>
      </c>
    </row>
    <row r="1774" spans="1:4">
      <c r="A1774" t="s">
        <v>5</v>
      </c>
      <c r="B1774" t="s">
        <v>187</v>
      </c>
      <c r="C1774" s="9">
        <v>46175</v>
      </c>
      <c r="D1774" s="10">
        <v>30380</v>
      </c>
    </row>
    <row r="1775" spans="1:4">
      <c r="A1775" t="s">
        <v>5</v>
      </c>
      <c r="B1775" t="s">
        <v>110</v>
      </c>
      <c r="C1775" s="9">
        <v>46175</v>
      </c>
      <c r="D1775" s="10">
        <v>42237</v>
      </c>
    </row>
    <row r="1776" spans="1:4">
      <c r="A1776" t="s">
        <v>27</v>
      </c>
      <c r="B1776" t="s">
        <v>96</v>
      </c>
      <c r="C1776" s="9">
        <v>46176</v>
      </c>
      <c r="D1776" s="10">
        <v>10206</v>
      </c>
    </row>
    <row r="1777" spans="1:4">
      <c r="A1777" t="s">
        <v>4</v>
      </c>
      <c r="B1777" t="s">
        <v>145</v>
      </c>
      <c r="C1777" s="9">
        <v>46176</v>
      </c>
      <c r="D1777" s="10">
        <v>40143</v>
      </c>
    </row>
    <row r="1778" spans="1:4">
      <c r="A1778" t="s">
        <v>4</v>
      </c>
      <c r="B1778" t="s">
        <v>137</v>
      </c>
      <c r="C1778" s="9">
        <v>46176</v>
      </c>
      <c r="D1778" s="10">
        <v>31687</v>
      </c>
    </row>
    <row r="1779" spans="1:4">
      <c r="A1779" t="s">
        <v>6</v>
      </c>
      <c r="B1779" t="s">
        <v>280</v>
      </c>
      <c r="C1779" s="9">
        <v>46176</v>
      </c>
      <c r="D1779" s="10">
        <v>22179</v>
      </c>
    </row>
    <row r="1780" spans="1:4">
      <c r="A1780" t="s">
        <v>9</v>
      </c>
      <c r="B1780" t="s">
        <v>116</v>
      </c>
      <c r="C1780" s="9">
        <v>46176</v>
      </c>
      <c r="D1780" s="10">
        <v>44059</v>
      </c>
    </row>
    <row r="1781" spans="1:4">
      <c r="A1781" t="s">
        <v>9</v>
      </c>
      <c r="B1781" t="s">
        <v>91</v>
      </c>
      <c r="C1781" s="9">
        <v>46176</v>
      </c>
      <c r="D1781" s="10">
        <v>23005</v>
      </c>
    </row>
    <row r="1782" spans="1:4">
      <c r="A1782" t="s">
        <v>9</v>
      </c>
      <c r="B1782" t="s">
        <v>186</v>
      </c>
      <c r="C1782" s="9">
        <v>46176</v>
      </c>
      <c r="D1782" s="10">
        <v>26409</v>
      </c>
    </row>
    <row r="1783" spans="1:4">
      <c r="A1783" t="s">
        <v>9</v>
      </c>
      <c r="B1783" t="s">
        <v>132</v>
      </c>
      <c r="C1783" s="9">
        <v>46176</v>
      </c>
      <c r="D1783" s="10">
        <v>30648</v>
      </c>
    </row>
    <row r="1784" spans="1:4">
      <c r="A1784" t="s">
        <v>5</v>
      </c>
      <c r="B1784" t="s">
        <v>94</v>
      </c>
      <c r="C1784" s="9">
        <v>46176</v>
      </c>
      <c r="D1784" s="10">
        <v>41423</v>
      </c>
    </row>
    <row r="1785" spans="1:4">
      <c r="A1785" t="s">
        <v>5</v>
      </c>
      <c r="B1785" t="s">
        <v>178</v>
      </c>
      <c r="C1785" s="9">
        <v>46176</v>
      </c>
      <c r="D1785" s="10">
        <v>53966</v>
      </c>
    </row>
    <row r="1786" spans="1:4">
      <c r="A1786" t="s">
        <v>5</v>
      </c>
      <c r="B1786" t="s">
        <v>210</v>
      </c>
      <c r="C1786" s="9">
        <v>46176</v>
      </c>
      <c r="D1786" s="10">
        <v>38615</v>
      </c>
    </row>
    <row r="1787" spans="1:4">
      <c r="A1787" t="s">
        <v>8</v>
      </c>
      <c r="B1787" t="s">
        <v>158</v>
      </c>
      <c r="C1787" s="9">
        <v>46177</v>
      </c>
      <c r="D1787" s="10">
        <v>22658</v>
      </c>
    </row>
    <row r="1788" spans="1:4">
      <c r="A1788" t="s">
        <v>8</v>
      </c>
      <c r="B1788" t="s">
        <v>232</v>
      </c>
      <c r="C1788" s="9">
        <v>46177</v>
      </c>
      <c r="D1788" s="10">
        <v>17469</v>
      </c>
    </row>
    <row r="1789" spans="1:4">
      <c r="A1789" t="s">
        <v>7</v>
      </c>
      <c r="B1789" t="s">
        <v>100</v>
      </c>
      <c r="C1789" s="9">
        <v>46177</v>
      </c>
      <c r="D1789" s="10">
        <v>20168</v>
      </c>
    </row>
    <row r="1790" spans="1:4">
      <c r="A1790" t="s">
        <v>7</v>
      </c>
      <c r="B1790" t="s">
        <v>64</v>
      </c>
      <c r="C1790" s="9">
        <v>46177</v>
      </c>
      <c r="D1790" s="10">
        <v>19534</v>
      </c>
    </row>
    <row r="1791" spans="1:4">
      <c r="A1791" t="s">
        <v>9</v>
      </c>
      <c r="B1791" t="s">
        <v>102</v>
      </c>
      <c r="C1791" s="9">
        <v>46177</v>
      </c>
      <c r="D1791" s="10">
        <v>30815</v>
      </c>
    </row>
    <row r="1792" spans="1:4">
      <c r="A1792" t="s">
        <v>9</v>
      </c>
      <c r="B1792" t="s">
        <v>57</v>
      </c>
      <c r="C1792" s="9">
        <v>46177</v>
      </c>
      <c r="D1792" s="10">
        <v>54370</v>
      </c>
    </row>
    <row r="1793" spans="1:4">
      <c r="A1793" t="s">
        <v>9</v>
      </c>
      <c r="B1793" t="s">
        <v>167</v>
      </c>
      <c r="C1793" s="9">
        <v>46177</v>
      </c>
      <c r="D1793" s="10">
        <v>12684</v>
      </c>
    </row>
    <row r="1794" spans="1:4">
      <c r="A1794" t="s">
        <v>9</v>
      </c>
      <c r="B1794" t="s">
        <v>76</v>
      </c>
      <c r="C1794" s="9">
        <v>46177</v>
      </c>
      <c r="D1794" s="10">
        <v>26258</v>
      </c>
    </row>
    <row r="1795" spans="1:4">
      <c r="A1795" t="s">
        <v>9</v>
      </c>
      <c r="B1795" t="s">
        <v>210</v>
      </c>
      <c r="C1795" s="9">
        <v>46177</v>
      </c>
      <c r="D1795" s="10">
        <v>42298</v>
      </c>
    </row>
    <row r="1796" spans="1:4">
      <c r="A1796" t="s">
        <v>5</v>
      </c>
      <c r="B1796" t="s">
        <v>152</v>
      </c>
      <c r="C1796" s="9">
        <v>46177</v>
      </c>
      <c r="D1796" s="10">
        <v>27242</v>
      </c>
    </row>
    <row r="1797" spans="1:4">
      <c r="A1797" t="s">
        <v>5</v>
      </c>
      <c r="B1797" t="s">
        <v>118</v>
      </c>
      <c r="C1797" s="9">
        <v>46177</v>
      </c>
      <c r="D1797" s="10">
        <v>57234</v>
      </c>
    </row>
    <row r="1798" spans="1:4">
      <c r="A1798" t="s">
        <v>5</v>
      </c>
      <c r="B1798" t="s">
        <v>122</v>
      </c>
      <c r="C1798" s="9">
        <v>46177</v>
      </c>
      <c r="D1798" s="10">
        <v>47470</v>
      </c>
    </row>
    <row r="1799" spans="1:4">
      <c r="A1799" t="s">
        <v>35</v>
      </c>
      <c r="B1799" t="s">
        <v>140</v>
      </c>
      <c r="C1799" s="9">
        <v>46178</v>
      </c>
      <c r="D1799" s="10">
        <v>12643</v>
      </c>
    </row>
    <row r="1800" spans="1:4">
      <c r="A1800" t="s">
        <v>4</v>
      </c>
      <c r="B1800" t="s">
        <v>235</v>
      </c>
      <c r="C1800" s="9">
        <v>46178</v>
      </c>
      <c r="D1800" s="10">
        <v>27244</v>
      </c>
    </row>
    <row r="1801" spans="1:4">
      <c r="A1801" t="s">
        <v>31</v>
      </c>
      <c r="B1801" t="s">
        <v>236</v>
      </c>
      <c r="C1801" s="9">
        <v>46178</v>
      </c>
      <c r="D1801" s="10">
        <v>20839</v>
      </c>
    </row>
    <row r="1802" spans="1:4">
      <c r="A1802" t="s">
        <v>26</v>
      </c>
      <c r="B1802" t="s">
        <v>260</v>
      </c>
      <c r="C1802" s="9">
        <v>46178</v>
      </c>
      <c r="D1802" s="10">
        <v>13813</v>
      </c>
    </row>
    <row r="1803" spans="1:4">
      <c r="A1803" t="s">
        <v>7</v>
      </c>
      <c r="B1803" t="s">
        <v>61</v>
      </c>
      <c r="C1803" s="9">
        <v>46178</v>
      </c>
      <c r="D1803" s="10">
        <v>24362</v>
      </c>
    </row>
    <row r="1804" spans="1:4">
      <c r="A1804" t="s">
        <v>7</v>
      </c>
      <c r="B1804" t="s">
        <v>129</v>
      </c>
      <c r="C1804" s="9">
        <v>46178</v>
      </c>
      <c r="D1804" s="10">
        <v>20330</v>
      </c>
    </row>
    <row r="1805" spans="1:4">
      <c r="A1805" t="s">
        <v>9</v>
      </c>
      <c r="B1805" t="s">
        <v>94</v>
      </c>
      <c r="C1805" s="9">
        <v>46178</v>
      </c>
      <c r="D1805" s="10">
        <v>43805</v>
      </c>
    </row>
    <row r="1806" spans="1:4">
      <c r="A1806" t="s">
        <v>9</v>
      </c>
      <c r="B1806" t="s">
        <v>151</v>
      </c>
      <c r="C1806" s="9">
        <v>46178</v>
      </c>
      <c r="D1806" s="10">
        <v>39698</v>
      </c>
    </row>
    <row r="1807" spans="1:4">
      <c r="A1807" t="s">
        <v>9</v>
      </c>
      <c r="B1807" t="s">
        <v>292</v>
      </c>
      <c r="C1807" s="9">
        <v>46178</v>
      </c>
      <c r="D1807" s="10">
        <v>45830</v>
      </c>
    </row>
    <row r="1808" spans="1:4">
      <c r="A1808" t="s">
        <v>5</v>
      </c>
      <c r="B1808" t="s">
        <v>66</v>
      </c>
      <c r="C1808" s="9">
        <v>46178</v>
      </c>
      <c r="D1808" s="10">
        <v>37031</v>
      </c>
    </row>
    <row r="1809" spans="1:4">
      <c r="A1809" t="s">
        <v>5</v>
      </c>
      <c r="B1809" t="s">
        <v>152</v>
      </c>
      <c r="C1809" s="9">
        <v>46178</v>
      </c>
      <c r="D1809" s="10">
        <v>41120</v>
      </c>
    </row>
    <row r="1810" spans="1:4">
      <c r="A1810" t="s">
        <v>5</v>
      </c>
      <c r="B1810" t="s">
        <v>175</v>
      </c>
      <c r="C1810" s="9">
        <v>46178</v>
      </c>
      <c r="D1810" s="10">
        <v>38614</v>
      </c>
    </row>
    <row r="1811" spans="1:4">
      <c r="A1811" t="s">
        <v>35</v>
      </c>
      <c r="B1811" t="s">
        <v>80</v>
      </c>
      <c r="C1811" s="9">
        <v>46179</v>
      </c>
      <c r="D1811" s="10">
        <v>5200</v>
      </c>
    </row>
    <row r="1812" spans="1:4">
      <c r="A1812" t="s">
        <v>28</v>
      </c>
      <c r="B1812" t="s">
        <v>255</v>
      </c>
      <c r="C1812" s="9">
        <v>46179</v>
      </c>
      <c r="D1812" s="10">
        <v>13439</v>
      </c>
    </row>
    <row r="1813" spans="1:4">
      <c r="A1813" t="s">
        <v>6</v>
      </c>
      <c r="B1813" t="s">
        <v>274</v>
      </c>
      <c r="C1813" s="9">
        <v>46179</v>
      </c>
      <c r="D1813" s="10">
        <v>22047</v>
      </c>
    </row>
    <row r="1814" spans="1:4">
      <c r="A1814" t="s">
        <v>6</v>
      </c>
      <c r="B1814" t="s">
        <v>105</v>
      </c>
      <c r="C1814" s="9">
        <v>46179</v>
      </c>
      <c r="D1814" s="10">
        <v>15611</v>
      </c>
    </row>
    <row r="1815" spans="1:4">
      <c r="A1815" t="s">
        <v>7</v>
      </c>
      <c r="B1815" t="s">
        <v>204</v>
      </c>
      <c r="C1815" s="9">
        <v>46179</v>
      </c>
      <c r="D1815" s="10">
        <v>25731</v>
      </c>
    </row>
    <row r="1816" spans="1:4">
      <c r="A1816" t="s">
        <v>9</v>
      </c>
      <c r="B1816" t="s">
        <v>259</v>
      </c>
      <c r="C1816" s="9">
        <v>46179</v>
      </c>
      <c r="D1816" s="10">
        <v>30249</v>
      </c>
    </row>
    <row r="1817" spans="1:4">
      <c r="A1817" t="s">
        <v>9</v>
      </c>
      <c r="B1817" t="s">
        <v>291</v>
      </c>
      <c r="C1817" s="9">
        <v>46179</v>
      </c>
      <c r="D1817" s="10">
        <v>33708</v>
      </c>
    </row>
    <row r="1818" spans="1:4">
      <c r="A1818" t="s">
        <v>5</v>
      </c>
      <c r="B1818" t="s">
        <v>116</v>
      </c>
      <c r="C1818" s="9">
        <v>46179</v>
      </c>
      <c r="D1818" s="10">
        <v>35172</v>
      </c>
    </row>
    <row r="1819" spans="1:4">
      <c r="A1819" t="s">
        <v>5</v>
      </c>
      <c r="B1819" t="s">
        <v>178</v>
      </c>
      <c r="C1819" s="9">
        <v>46179</v>
      </c>
      <c r="D1819" s="10">
        <v>72067</v>
      </c>
    </row>
    <row r="1820" spans="1:4">
      <c r="A1820" t="s">
        <v>5</v>
      </c>
      <c r="B1820" t="s">
        <v>79</v>
      </c>
      <c r="C1820" s="9">
        <v>46179</v>
      </c>
      <c r="D1820" s="10">
        <v>33911</v>
      </c>
    </row>
    <row r="1821" spans="1:4">
      <c r="A1821" t="s">
        <v>4</v>
      </c>
      <c r="B1821" t="s">
        <v>136</v>
      </c>
      <c r="C1821" s="9">
        <v>46180</v>
      </c>
      <c r="D1821" s="10">
        <v>38428</v>
      </c>
    </row>
    <row r="1822" spans="1:4">
      <c r="A1822" t="s">
        <v>4</v>
      </c>
      <c r="B1822" t="s">
        <v>169</v>
      </c>
      <c r="C1822" s="9">
        <v>46180</v>
      </c>
      <c r="D1822" s="10">
        <v>30568</v>
      </c>
    </row>
    <row r="1823" spans="1:4">
      <c r="A1823" t="s">
        <v>28</v>
      </c>
      <c r="B1823" t="s">
        <v>202</v>
      </c>
      <c r="C1823" s="9">
        <v>46180</v>
      </c>
      <c r="D1823" s="10">
        <v>11887</v>
      </c>
    </row>
    <row r="1824" spans="1:4">
      <c r="A1824" t="s">
        <v>26</v>
      </c>
      <c r="B1824" t="s">
        <v>209</v>
      </c>
      <c r="C1824" s="9">
        <v>46180</v>
      </c>
      <c r="D1824" s="10">
        <v>8342</v>
      </c>
    </row>
    <row r="1825" spans="1:4">
      <c r="A1825" t="s">
        <v>8</v>
      </c>
      <c r="B1825" t="s">
        <v>203</v>
      </c>
      <c r="C1825" s="9">
        <v>46180</v>
      </c>
      <c r="D1825" s="10">
        <v>16131</v>
      </c>
    </row>
    <row r="1826" spans="1:4">
      <c r="A1826" t="s">
        <v>33</v>
      </c>
      <c r="B1826" t="s">
        <v>99</v>
      </c>
      <c r="C1826" s="9">
        <v>46180</v>
      </c>
      <c r="D1826" s="10">
        <v>12166</v>
      </c>
    </row>
    <row r="1827" spans="1:4">
      <c r="A1827" t="s">
        <v>7</v>
      </c>
      <c r="B1827" t="s">
        <v>271</v>
      </c>
      <c r="C1827" s="9">
        <v>46180</v>
      </c>
      <c r="D1827" s="10">
        <v>26242</v>
      </c>
    </row>
    <row r="1828" spans="1:4">
      <c r="A1828" t="s">
        <v>7</v>
      </c>
      <c r="B1828" t="s">
        <v>219</v>
      </c>
      <c r="C1828" s="9">
        <v>46180</v>
      </c>
      <c r="D1828" s="10">
        <v>34969</v>
      </c>
    </row>
    <row r="1829" spans="1:4">
      <c r="A1829" t="s">
        <v>7</v>
      </c>
      <c r="B1829" t="s">
        <v>245</v>
      </c>
      <c r="C1829" s="9">
        <v>46180</v>
      </c>
      <c r="D1829" s="10">
        <v>20151</v>
      </c>
    </row>
    <row r="1830" spans="1:4">
      <c r="A1830" t="s">
        <v>7</v>
      </c>
      <c r="B1830" t="s">
        <v>221</v>
      </c>
      <c r="C1830" s="9">
        <v>46180</v>
      </c>
      <c r="D1830" s="10">
        <v>14327</v>
      </c>
    </row>
    <row r="1831" spans="1:4">
      <c r="A1831" t="s">
        <v>5</v>
      </c>
      <c r="B1831" t="s">
        <v>175</v>
      </c>
      <c r="C1831" s="9">
        <v>46180</v>
      </c>
      <c r="D1831" s="10">
        <v>49499</v>
      </c>
    </row>
    <row r="1832" spans="1:4">
      <c r="A1832" t="s">
        <v>5</v>
      </c>
      <c r="B1832" t="s">
        <v>272</v>
      </c>
      <c r="C1832" s="9">
        <v>46180</v>
      </c>
      <c r="D1832" s="10">
        <v>32657</v>
      </c>
    </row>
    <row r="1833" spans="1:4">
      <c r="A1833" t="s">
        <v>5</v>
      </c>
      <c r="B1833" t="s">
        <v>109</v>
      </c>
      <c r="C1833" s="9">
        <v>46180</v>
      </c>
      <c r="D1833" s="10">
        <v>50102</v>
      </c>
    </row>
    <row r="1834" spans="1:4">
      <c r="A1834" t="s">
        <v>5</v>
      </c>
      <c r="B1834" t="s">
        <v>199</v>
      </c>
      <c r="C1834" s="9">
        <v>46180</v>
      </c>
      <c r="D1834" s="10">
        <v>40284</v>
      </c>
    </row>
    <row r="1835" spans="1:4">
      <c r="A1835" t="s">
        <v>5</v>
      </c>
      <c r="B1835" t="s">
        <v>69</v>
      </c>
      <c r="C1835" s="9">
        <v>46180</v>
      </c>
      <c r="D1835" s="10">
        <v>32346</v>
      </c>
    </row>
    <row r="1836" spans="1:4">
      <c r="A1836" t="s">
        <v>4</v>
      </c>
      <c r="B1836" t="s">
        <v>76</v>
      </c>
      <c r="C1836" s="9">
        <v>46181</v>
      </c>
      <c r="D1836" s="10">
        <v>32959</v>
      </c>
    </row>
    <row r="1837" spans="1:4">
      <c r="A1837" t="s">
        <v>26</v>
      </c>
      <c r="B1837" t="s">
        <v>226</v>
      </c>
      <c r="C1837" s="9">
        <v>46181</v>
      </c>
      <c r="D1837" s="10">
        <v>15722</v>
      </c>
    </row>
    <row r="1838" spans="1:4">
      <c r="A1838" t="s">
        <v>6</v>
      </c>
      <c r="B1838" t="s">
        <v>228</v>
      </c>
      <c r="C1838" s="9">
        <v>46181</v>
      </c>
      <c r="D1838" s="10">
        <v>14962</v>
      </c>
    </row>
    <row r="1839" spans="1:4">
      <c r="A1839" t="s">
        <v>7</v>
      </c>
      <c r="B1839" t="s">
        <v>290</v>
      </c>
      <c r="C1839" s="9">
        <v>46181</v>
      </c>
      <c r="D1839" s="10">
        <v>26649</v>
      </c>
    </row>
    <row r="1840" spans="1:4">
      <c r="A1840" t="s">
        <v>9</v>
      </c>
      <c r="B1840" t="s">
        <v>174</v>
      </c>
      <c r="C1840" s="9">
        <v>46181</v>
      </c>
      <c r="D1840" s="10">
        <v>30299</v>
      </c>
    </row>
    <row r="1841" spans="1:4">
      <c r="A1841" t="s">
        <v>9</v>
      </c>
      <c r="B1841" t="s">
        <v>78</v>
      </c>
      <c r="C1841" s="9">
        <v>46181</v>
      </c>
      <c r="D1841" s="10">
        <v>50940</v>
      </c>
    </row>
    <row r="1842" spans="1:4">
      <c r="A1842" t="s">
        <v>9</v>
      </c>
      <c r="B1842" t="s">
        <v>118</v>
      </c>
      <c r="C1842" s="9">
        <v>46181</v>
      </c>
      <c r="D1842" s="10">
        <v>40006</v>
      </c>
    </row>
    <row r="1843" spans="1:4">
      <c r="A1843" t="s">
        <v>5</v>
      </c>
      <c r="B1843" t="s">
        <v>77</v>
      </c>
      <c r="C1843" s="9">
        <v>46181</v>
      </c>
      <c r="D1843" s="10">
        <v>48144</v>
      </c>
    </row>
    <row r="1844" spans="1:4">
      <c r="A1844" t="s">
        <v>5</v>
      </c>
      <c r="B1844" t="s">
        <v>94</v>
      </c>
      <c r="C1844" s="9">
        <v>46181</v>
      </c>
      <c r="D1844" s="10">
        <v>33785</v>
      </c>
    </row>
    <row r="1845" spans="1:4">
      <c r="A1845" t="s">
        <v>5</v>
      </c>
      <c r="B1845" t="s">
        <v>168</v>
      </c>
      <c r="C1845" s="9">
        <v>46181</v>
      </c>
      <c r="D1845" s="10">
        <v>36278</v>
      </c>
    </row>
    <row r="1846" spans="1:4">
      <c r="A1846" t="s">
        <v>5</v>
      </c>
      <c r="B1846" t="s">
        <v>79</v>
      </c>
      <c r="C1846" s="9">
        <v>46181</v>
      </c>
      <c r="D1846" s="10">
        <v>30646</v>
      </c>
    </row>
    <row r="1847" spans="1:4">
      <c r="A1847" t="s">
        <v>5</v>
      </c>
      <c r="B1847" t="s">
        <v>70</v>
      </c>
      <c r="C1847" s="9">
        <v>46181</v>
      </c>
      <c r="D1847" s="10">
        <v>40178</v>
      </c>
    </row>
    <row r="1848" spans="1:4">
      <c r="A1848" t="s">
        <v>4</v>
      </c>
      <c r="B1848" t="s">
        <v>71</v>
      </c>
      <c r="C1848" s="9">
        <v>46182</v>
      </c>
      <c r="D1848" s="10">
        <v>44756</v>
      </c>
    </row>
    <row r="1849" spans="1:4">
      <c r="A1849" t="s">
        <v>30</v>
      </c>
      <c r="B1849" t="s">
        <v>261</v>
      </c>
      <c r="C1849" s="9">
        <v>46182</v>
      </c>
      <c r="D1849" s="10">
        <v>11761</v>
      </c>
    </row>
    <row r="1850" spans="1:4">
      <c r="A1850" t="s">
        <v>8</v>
      </c>
      <c r="B1850" t="s">
        <v>159</v>
      </c>
      <c r="C1850" s="9">
        <v>46182</v>
      </c>
      <c r="D1850" s="10">
        <v>14508</v>
      </c>
    </row>
    <row r="1851" spans="1:4">
      <c r="A1851" t="s">
        <v>34</v>
      </c>
      <c r="B1851" t="s">
        <v>244</v>
      </c>
      <c r="C1851" s="9">
        <v>46182</v>
      </c>
      <c r="D1851" s="10">
        <v>12843</v>
      </c>
    </row>
    <row r="1852" spans="1:4">
      <c r="A1852" t="s">
        <v>33</v>
      </c>
      <c r="B1852" t="s">
        <v>98</v>
      </c>
      <c r="C1852" s="9">
        <v>46182</v>
      </c>
      <c r="D1852" s="10">
        <v>19999</v>
      </c>
    </row>
    <row r="1853" spans="1:4">
      <c r="A1853" t="s">
        <v>29</v>
      </c>
      <c r="B1853" t="s">
        <v>254</v>
      </c>
      <c r="C1853" s="9">
        <v>46182</v>
      </c>
      <c r="D1853" s="10">
        <v>12285</v>
      </c>
    </row>
    <row r="1854" spans="1:4">
      <c r="A1854" t="s">
        <v>9</v>
      </c>
      <c r="B1854" t="s">
        <v>81</v>
      </c>
      <c r="C1854" s="9">
        <v>46182</v>
      </c>
      <c r="D1854" s="10">
        <v>44532</v>
      </c>
    </row>
    <row r="1855" spans="1:4">
      <c r="A1855" t="s">
        <v>9</v>
      </c>
      <c r="B1855" t="s">
        <v>75</v>
      </c>
      <c r="C1855" s="9">
        <v>46182</v>
      </c>
      <c r="D1855" s="10">
        <v>26961</v>
      </c>
    </row>
    <row r="1856" spans="1:4">
      <c r="A1856" t="s">
        <v>9</v>
      </c>
      <c r="B1856" t="s">
        <v>197</v>
      </c>
      <c r="C1856" s="9">
        <v>46182</v>
      </c>
      <c r="D1856" s="10">
        <v>40105</v>
      </c>
    </row>
    <row r="1857" spans="1:4">
      <c r="A1857" t="s">
        <v>5</v>
      </c>
      <c r="B1857" t="s">
        <v>142</v>
      </c>
      <c r="C1857" s="9">
        <v>46182</v>
      </c>
      <c r="D1857" s="10">
        <v>29037</v>
      </c>
    </row>
    <row r="1858" spans="1:4">
      <c r="A1858" t="s">
        <v>5</v>
      </c>
      <c r="B1858" t="s">
        <v>179</v>
      </c>
      <c r="C1858" s="9">
        <v>46182</v>
      </c>
      <c r="D1858" s="10">
        <v>57128</v>
      </c>
    </row>
    <row r="1859" spans="1:4">
      <c r="A1859" t="s">
        <v>26</v>
      </c>
      <c r="B1859" t="s">
        <v>84</v>
      </c>
      <c r="C1859" s="9">
        <v>46183</v>
      </c>
      <c r="D1859" s="10">
        <v>14078</v>
      </c>
    </row>
    <row r="1860" spans="1:4">
      <c r="A1860" t="s">
        <v>26</v>
      </c>
      <c r="B1860" t="s">
        <v>189</v>
      </c>
      <c r="C1860" s="9">
        <v>46183</v>
      </c>
      <c r="D1860" s="10">
        <v>11176</v>
      </c>
    </row>
    <row r="1861" spans="1:4">
      <c r="A1861" t="s">
        <v>32</v>
      </c>
      <c r="B1861" t="s">
        <v>89</v>
      </c>
      <c r="C1861" s="9">
        <v>46183</v>
      </c>
      <c r="D1861" s="10">
        <v>15699</v>
      </c>
    </row>
    <row r="1862" spans="1:4">
      <c r="A1862" t="s">
        <v>6</v>
      </c>
      <c r="B1862" t="s">
        <v>184</v>
      </c>
      <c r="C1862" s="9">
        <v>46183</v>
      </c>
      <c r="D1862" s="10">
        <v>19948</v>
      </c>
    </row>
    <row r="1863" spans="1:4">
      <c r="A1863" t="s">
        <v>6</v>
      </c>
      <c r="B1863" t="s">
        <v>218</v>
      </c>
      <c r="C1863" s="9">
        <v>46183</v>
      </c>
      <c r="D1863" s="10">
        <v>14422</v>
      </c>
    </row>
    <row r="1864" spans="1:4">
      <c r="A1864" t="s">
        <v>9</v>
      </c>
      <c r="B1864" t="s">
        <v>268</v>
      </c>
      <c r="C1864" s="9">
        <v>46183</v>
      </c>
      <c r="D1864" s="10">
        <v>31390</v>
      </c>
    </row>
    <row r="1865" spans="1:4">
      <c r="A1865" t="s">
        <v>5</v>
      </c>
      <c r="B1865" t="s">
        <v>93</v>
      </c>
      <c r="C1865" s="9">
        <v>46183</v>
      </c>
      <c r="D1865" s="10">
        <v>26514</v>
      </c>
    </row>
    <row r="1866" spans="1:4">
      <c r="A1866" t="s">
        <v>5</v>
      </c>
      <c r="B1866" t="s">
        <v>272</v>
      </c>
      <c r="C1866" s="9">
        <v>46183</v>
      </c>
      <c r="D1866" s="10">
        <v>32048</v>
      </c>
    </row>
    <row r="1867" spans="1:4">
      <c r="A1867" t="s">
        <v>5</v>
      </c>
      <c r="B1867" t="s">
        <v>110</v>
      </c>
      <c r="C1867" s="9">
        <v>46183</v>
      </c>
      <c r="D1867" s="10">
        <v>38796</v>
      </c>
    </row>
    <row r="1868" spans="1:4">
      <c r="A1868" t="s">
        <v>4</v>
      </c>
      <c r="B1868" t="s">
        <v>111</v>
      </c>
      <c r="C1868" s="9">
        <v>46184</v>
      </c>
      <c r="D1868" s="10">
        <v>30448</v>
      </c>
    </row>
    <row r="1869" spans="1:4">
      <c r="A1869" t="s">
        <v>8</v>
      </c>
      <c r="B1869" t="s">
        <v>120</v>
      </c>
      <c r="C1869" s="9">
        <v>46184</v>
      </c>
      <c r="D1869" s="10">
        <v>10290</v>
      </c>
    </row>
    <row r="1870" spans="1:4">
      <c r="A1870" t="s">
        <v>6</v>
      </c>
      <c r="B1870" t="s">
        <v>233</v>
      </c>
      <c r="C1870" s="9">
        <v>46184</v>
      </c>
      <c r="D1870" s="10">
        <v>20422</v>
      </c>
    </row>
    <row r="1871" spans="1:4">
      <c r="A1871" t="s">
        <v>9</v>
      </c>
      <c r="B1871" t="s">
        <v>115</v>
      </c>
      <c r="C1871" s="9">
        <v>46184</v>
      </c>
      <c r="D1871" s="10">
        <v>25503</v>
      </c>
    </row>
    <row r="1872" spans="1:4">
      <c r="A1872" t="s">
        <v>5</v>
      </c>
      <c r="B1872" t="s">
        <v>141</v>
      </c>
      <c r="C1872" s="9">
        <v>46184</v>
      </c>
      <c r="D1872" s="10">
        <v>50747</v>
      </c>
    </row>
    <row r="1873" spans="1:4">
      <c r="A1873" t="s">
        <v>5</v>
      </c>
      <c r="B1873" t="s">
        <v>107</v>
      </c>
      <c r="C1873" s="9">
        <v>46184</v>
      </c>
      <c r="D1873" s="10">
        <v>40278</v>
      </c>
    </row>
    <row r="1874" spans="1:4">
      <c r="A1874" t="s">
        <v>5</v>
      </c>
      <c r="B1874" t="s">
        <v>117</v>
      </c>
      <c r="C1874" s="9">
        <v>46184</v>
      </c>
      <c r="D1874" s="10">
        <v>42553</v>
      </c>
    </row>
    <row r="1875" spans="1:4">
      <c r="A1875" t="s">
        <v>4</v>
      </c>
      <c r="B1875" t="s">
        <v>77</v>
      </c>
      <c r="C1875" s="9">
        <v>46185</v>
      </c>
      <c r="D1875" s="10">
        <v>33956</v>
      </c>
    </row>
    <row r="1876" spans="1:4">
      <c r="A1876" t="s">
        <v>31</v>
      </c>
      <c r="B1876" t="s">
        <v>82</v>
      </c>
      <c r="C1876" s="9">
        <v>46185</v>
      </c>
      <c r="D1876" s="10">
        <v>6088</v>
      </c>
    </row>
    <row r="1877" spans="1:4">
      <c r="A1877" t="s">
        <v>26</v>
      </c>
      <c r="B1877" t="s">
        <v>252</v>
      </c>
      <c r="C1877" s="9">
        <v>46185</v>
      </c>
      <c r="D1877" s="10">
        <v>17671</v>
      </c>
    </row>
    <row r="1878" spans="1:4">
      <c r="A1878" t="s">
        <v>29</v>
      </c>
      <c r="B1878" t="s">
        <v>275</v>
      </c>
      <c r="C1878" s="9">
        <v>46185</v>
      </c>
      <c r="D1878" s="10">
        <v>13306</v>
      </c>
    </row>
    <row r="1879" spans="1:4">
      <c r="A1879" t="s">
        <v>9</v>
      </c>
      <c r="B1879" t="s">
        <v>92</v>
      </c>
      <c r="C1879" s="9">
        <v>46185</v>
      </c>
      <c r="D1879" s="10">
        <v>39866</v>
      </c>
    </row>
    <row r="1880" spans="1:4">
      <c r="A1880" t="s">
        <v>9</v>
      </c>
      <c r="B1880" t="s">
        <v>81</v>
      </c>
      <c r="C1880" s="9">
        <v>46185</v>
      </c>
      <c r="D1880" s="10">
        <v>47778</v>
      </c>
    </row>
    <row r="1881" spans="1:4">
      <c r="A1881" t="s">
        <v>9</v>
      </c>
      <c r="B1881" t="s">
        <v>64</v>
      </c>
      <c r="C1881" s="9">
        <v>46185</v>
      </c>
      <c r="D1881" s="10">
        <v>29122</v>
      </c>
    </row>
    <row r="1882" spans="1:4">
      <c r="A1882" t="s">
        <v>5</v>
      </c>
      <c r="B1882" t="s">
        <v>141</v>
      </c>
      <c r="C1882" s="9">
        <v>46185</v>
      </c>
      <c r="D1882" s="10">
        <v>44456</v>
      </c>
    </row>
    <row r="1883" spans="1:4">
      <c r="A1883" t="s">
        <v>5</v>
      </c>
      <c r="B1883" t="s">
        <v>168</v>
      </c>
      <c r="C1883" s="9">
        <v>46185</v>
      </c>
      <c r="D1883" s="10">
        <v>47387</v>
      </c>
    </row>
    <row r="1884" spans="1:4">
      <c r="A1884" t="s">
        <v>5</v>
      </c>
      <c r="B1884" t="s">
        <v>95</v>
      </c>
      <c r="C1884" s="9">
        <v>46185</v>
      </c>
      <c r="D1884" s="10">
        <v>57674</v>
      </c>
    </row>
    <row r="1885" spans="1:4">
      <c r="A1885" t="s">
        <v>5</v>
      </c>
      <c r="B1885" t="s">
        <v>143</v>
      </c>
      <c r="C1885" s="9">
        <v>46185</v>
      </c>
      <c r="D1885" s="10">
        <v>41655</v>
      </c>
    </row>
    <row r="1886" spans="1:4">
      <c r="A1886" t="s">
        <v>5</v>
      </c>
      <c r="B1886" t="s">
        <v>68</v>
      </c>
      <c r="C1886" s="9">
        <v>46185</v>
      </c>
      <c r="D1886" s="10">
        <v>39800</v>
      </c>
    </row>
    <row r="1887" spans="1:4">
      <c r="A1887" t="s">
        <v>5</v>
      </c>
      <c r="B1887" t="s">
        <v>68</v>
      </c>
      <c r="C1887" s="9">
        <v>46185</v>
      </c>
      <c r="D1887" s="10">
        <v>32739</v>
      </c>
    </row>
    <row r="1888" spans="1:4">
      <c r="A1888" t="s">
        <v>5</v>
      </c>
      <c r="B1888" t="s">
        <v>177</v>
      </c>
      <c r="C1888" s="9">
        <v>46185</v>
      </c>
      <c r="D1888" s="10">
        <v>33259</v>
      </c>
    </row>
    <row r="1889" spans="1:4">
      <c r="A1889" t="s">
        <v>31</v>
      </c>
      <c r="B1889" t="s">
        <v>155</v>
      </c>
      <c r="C1889" s="9">
        <v>46186</v>
      </c>
      <c r="D1889" s="10">
        <v>15212</v>
      </c>
    </row>
    <row r="1890" spans="1:4">
      <c r="A1890" t="s">
        <v>26</v>
      </c>
      <c r="B1890" t="s">
        <v>156</v>
      </c>
      <c r="C1890" s="9">
        <v>46186</v>
      </c>
      <c r="D1890" s="10">
        <v>18940</v>
      </c>
    </row>
    <row r="1891" spans="1:4">
      <c r="A1891" t="s">
        <v>30</v>
      </c>
      <c r="B1891" t="s">
        <v>60</v>
      </c>
      <c r="C1891" s="9">
        <v>46186</v>
      </c>
      <c r="D1891" s="10">
        <v>8899</v>
      </c>
    </row>
    <row r="1892" spans="1:4">
      <c r="A1892" t="s">
        <v>32</v>
      </c>
      <c r="B1892" t="s">
        <v>88</v>
      </c>
      <c r="C1892" s="9">
        <v>46186</v>
      </c>
      <c r="D1892" s="10">
        <v>11775</v>
      </c>
    </row>
    <row r="1893" spans="1:4">
      <c r="A1893" t="s">
        <v>7</v>
      </c>
      <c r="B1893" t="s">
        <v>220</v>
      </c>
      <c r="C1893" s="9">
        <v>46186</v>
      </c>
      <c r="D1893" s="10">
        <v>26532</v>
      </c>
    </row>
    <row r="1894" spans="1:4">
      <c r="A1894" t="s">
        <v>9</v>
      </c>
      <c r="B1894" t="s">
        <v>90</v>
      </c>
      <c r="C1894" s="9">
        <v>46186</v>
      </c>
      <c r="D1894" s="10">
        <v>48047</v>
      </c>
    </row>
    <row r="1895" spans="1:4">
      <c r="A1895" t="s">
        <v>9</v>
      </c>
      <c r="B1895" t="s">
        <v>283</v>
      </c>
      <c r="C1895" s="9">
        <v>46186</v>
      </c>
      <c r="D1895" s="10">
        <v>50865</v>
      </c>
    </row>
    <row r="1896" spans="1:4">
      <c r="A1896" t="s">
        <v>9</v>
      </c>
      <c r="B1896" t="s">
        <v>192</v>
      </c>
      <c r="C1896" s="9">
        <v>46186</v>
      </c>
      <c r="D1896" s="10">
        <v>41165</v>
      </c>
    </row>
    <row r="1897" spans="1:4">
      <c r="A1897" t="s">
        <v>9</v>
      </c>
      <c r="B1897" t="s">
        <v>69</v>
      </c>
      <c r="C1897" s="9">
        <v>46186</v>
      </c>
      <c r="D1897" s="10">
        <v>40372</v>
      </c>
    </row>
    <row r="1898" spans="1:4">
      <c r="A1898" t="s">
        <v>9</v>
      </c>
      <c r="B1898" t="s">
        <v>133</v>
      </c>
      <c r="C1898" s="9">
        <v>46186</v>
      </c>
      <c r="D1898" s="10">
        <v>32422</v>
      </c>
    </row>
    <row r="1899" spans="1:4">
      <c r="A1899" t="s">
        <v>5</v>
      </c>
      <c r="B1899" t="s">
        <v>107</v>
      </c>
      <c r="C1899" s="9">
        <v>46186</v>
      </c>
      <c r="D1899" s="10">
        <v>39593</v>
      </c>
    </row>
    <row r="1900" spans="1:4">
      <c r="A1900" t="s">
        <v>5</v>
      </c>
      <c r="B1900" t="s">
        <v>176</v>
      </c>
      <c r="C1900" s="9">
        <v>46186</v>
      </c>
      <c r="D1900" s="10">
        <v>37471</v>
      </c>
    </row>
    <row r="1901" spans="1:4">
      <c r="A1901" t="s">
        <v>5</v>
      </c>
      <c r="B1901" t="s">
        <v>70</v>
      </c>
      <c r="C1901" s="9">
        <v>46186</v>
      </c>
      <c r="D1901" s="10">
        <v>41548</v>
      </c>
    </row>
    <row r="1902" spans="1:4">
      <c r="A1902" t="s">
        <v>27</v>
      </c>
      <c r="B1902" t="s">
        <v>85</v>
      </c>
      <c r="C1902" s="9">
        <v>46187</v>
      </c>
      <c r="D1902" s="10">
        <v>14634</v>
      </c>
    </row>
    <row r="1903" spans="1:4">
      <c r="A1903" t="s">
        <v>4</v>
      </c>
      <c r="B1903" t="s">
        <v>194</v>
      </c>
      <c r="C1903" s="9">
        <v>46187</v>
      </c>
      <c r="D1903" s="10">
        <v>28298</v>
      </c>
    </row>
    <row r="1904" spans="1:4">
      <c r="A1904" t="s">
        <v>26</v>
      </c>
      <c r="B1904" t="s">
        <v>216</v>
      </c>
      <c r="C1904" s="9">
        <v>46187</v>
      </c>
      <c r="D1904" s="10">
        <v>15342</v>
      </c>
    </row>
    <row r="1905" spans="1:4">
      <c r="A1905" t="s">
        <v>6</v>
      </c>
      <c r="B1905" t="s">
        <v>257</v>
      </c>
      <c r="C1905" s="9">
        <v>46187</v>
      </c>
      <c r="D1905" s="10">
        <v>29647</v>
      </c>
    </row>
    <row r="1906" spans="1:4">
      <c r="A1906" t="s">
        <v>29</v>
      </c>
      <c r="B1906" t="s">
        <v>196</v>
      </c>
      <c r="C1906" s="9">
        <v>46187</v>
      </c>
      <c r="D1906" s="10">
        <v>17272</v>
      </c>
    </row>
    <row r="1907" spans="1:4">
      <c r="A1907" t="s">
        <v>9</v>
      </c>
      <c r="B1907" t="s">
        <v>186</v>
      </c>
      <c r="C1907" s="9">
        <v>46187</v>
      </c>
      <c r="D1907" s="10">
        <v>32656</v>
      </c>
    </row>
    <row r="1908" spans="1:4">
      <c r="A1908" t="s">
        <v>5</v>
      </c>
      <c r="B1908" t="s">
        <v>134</v>
      </c>
      <c r="C1908" s="9">
        <v>46187</v>
      </c>
      <c r="D1908" s="10">
        <v>31812</v>
      </c>
    </row>
    <row r="1909" spans="1:4">
      <c r="A1909" t="s">
        <v>5</v>
      </c>
      <c r="B1909" t="s">
        <v>131</v>
      </c>
      <c r="C1909" s="9">
        <v>46187</v>
      </c>
      <c r="D1909" s="10">
        <v>28376</v>
      </c>
    </row>
    <row r="1910" spans="1:4">
      <c r="A1910" t="s">
        <v>5</v>
      </c>
      <c r="B1910" t="s">
        <v>136</v>
      </c>
      <c r="C1910" s="9">
        <v>46187</v>
      </c>
      <c r="D1910" s="10">
        <v>35856</v>
      </c>
    </row>
    <row r="1911" spans="1:4">
      <c r="A1911" t="s">
        <v>5</v>
      </c>
      <c r="B1911" t="s">
        <v>198</v>
      </c>
      <c r="C1911" s="9">
        <v>46187</v>
      </c>
      <c r="D1911" s="10">
        <v>37959</v>
      </c>
    </row>
    <row r="1912" spans="1:4">
      <c r="A1912" t="s">
        <v>5</v>
      </c>
      <c r="B1912" t="s">
        <v>110</v>
      </c>
      <c r="C1912" s="9">
        <v>46187</v>
      </c>
      <c r="D1912" s="10">
        <v>46423</v>
      </c>
    </row>
    <row r="1913" spans="1:4">
      <c r="A1913" t="s">
        <v>4</v>
      </c>
      <c r="B1913" t="s">
        <v>207</v>
      </c>
      <c r="C1913" s="9">
        <v>46188</v>
      </c>
      <c r="D1913" s="10">
        <v>30985</v>
      </c>
    </row>
    <row r="1914" spans="1:4">
      <c r="A1914" t="s">
        <v>4</v>
      </c>
      <c r="B1914" t="s">
        <v>135</v>
      </c>
      <c r="C1914" s="9">
        <v>46188</v>
      </c>
      <c r="D1914" s="10">
        <v>28002</v>
      </c>
    </row>
    <row r="1915" spans="1:4">
      <c r="A1915" t="s">
        <v>25</v>
      </c>
      <c r="B1915" t="s">
        <v>147</v>
      </c>
      <c r="C1915" s="9">
        <v>46188</v>
      </c>
      <c r="D1915" s="10">
        <v>15814</v>
      </c>
    </row>
    <row r="1916" spans="1:4">
      <c r="A1916" t="s">
        <v>28</v>
      </c>
      <c r="B1916" t="s">
        <v>278</v>
      </c>
      <c r="C1916" s="9">
        <v>46188</v>
      </c>
      <c r="D1916" s="10">
        <v>19572</v>
      </c>
    </row>
    <row r="1917" spans="1:4">
      <c r="A1917" t="s">
        <v>26</v>
      </c>
      <c r="B1917" t="s">
        <v>149</v>
      </c>
      <c r="C1917" s="9">
        <v>46188</v>
      </c>
      <c r="D1917" s="10">
        <v>15427</v>
      </c>
    </row>
    <row r="1918" spans="1:4">
      <c r="A1918" t="s">
        <v>8</v>
      </c>
      <c r="B1918" t="s">
        <v>139</v>
      </c>
      <c r="C1918" s="9">
        <v>46188</v>
      </c>
      <c r="D1918" s="10">
        <v>17050</v>
      </c>
    </row>
    <row r="1919" spans="1:4">
      <c r="A1919" t="s">
        <v>6</v>
      </c>
      <c r="B1919" t="s">
        <v>208</v>
      </c>
      <c r="C1919" s="9">
        <v>46188</v>
      </c>
      <c r="D1919" s="10">
        <v>23179</v>
      </c>
    </row>
    <row r="1920" spans="1:4">
      <c r="A1920" t="s">
        <v>6</v>
      </c>
      <c r="B1920" t="s">
        <v>262</v>
      </c>
      <c r="C1920" s="9">
        <v>46188</v>
      </c>
      <c r="D1920" s="10">
        <v>20726</v>
      </c>
    </row>
    <row r="1921" spans="1:4">
      <c r="A1921" t="s">
        <v>6</v>
      </c>
      <c r="B1921" t="s">
        <v>86</v>
      </c>
      <c r="C1921" s="9">
        <v>46188</v>
      </c>
      <c r="D1921" s="10">
        <v>14908</v>
      </c>
    </row>
    <row r="1922" spans="1:4">
      <c r="A1922" t="s">
        <v>29</v>
      </c>
      <c r="B1922" t="s">
        <v>263</v>
      </c>
      <c r="C1922" s="9">
        <v>46188</v>
      </c>
      <c r="D1922" s="10">
        <v>12784</v>
      </c>
    </row>
    <row r="1923" spans="1:4">
      <c r="A1923" t="s">
        <v>7</v>
      </c>
      <c r="B1923" t="s">
        <v>241</v>
      </c>
      <c r="C1923" s="9">
        <v>46188</v>
      </c>
      <c r="D1923" s="10">
        <v>17947</v>
      </c>
    </row>
    <row r="1924" spans="1:4">
      <c r="A1924" t="s">
        <v>9</v>
      </c>
      <c r="B1924" t="s">
        <v>166</v>
      </c>
      <c r="C1924" s="9">
        <v>46188</v>
      </c>
      <c r="D1924" s="10">
        <v>30413</v>
      </c>
    </row>
    <row r="1925" spans="1:4">
      <c r="A1925" t="s">
        <v>5</v>
      </c>
      <c r="B1925" t="s">
        <v>141</v>
      </c>
      <c r="C1925" s="9">
        <v>46188</v>
      </c>
      <c r="D1925" s="10">
        <v>33465</v>
      </c>
    </row>
    <row r="1926" spans="1:4">
      <c r="A1926" t="s">
        <v>5</v>
      </c>
      <c r="B1926" t="s">
        <v>135</v>
      </c>
      <c r="C1926" s="9">
        <v>46188</v>
      </c>
      <c r="D1926" s="10">
        <v>34728</v>
      </c>
    </row>
    <row r="1927" spans="1:4">
      <c r="A1927" t="s">
        <v>5</v>
      </c>
      <c r="B1927" t="s">
        <v>284</v>
      </c>
      <c r="C1927" s="9">
        <v>46188</v>
      </c>
      <c r="D1927" s="10">
        <v>43367</v>
      </c>
    </row>
    <row r="1928" spans="1:4">
      <c r="A1928" t="s">
        <v>5</v>
      </c>
      <c r="B1928" t="s">
        <v>95</v>
      </c>
      <c r="C1928" s="9">
        <v>46188</v>
      </c>
      <c r="D1928" s="10">
        <v>37089</v>
      </c>
    </row>
    <row r="1929" spans="1:4">
      <c r="A1929" t="s">
        <v>4</v>
      </c>
      <c r="B1929" t="s">
        <v>153</v>
      </c>
      <c r="C1929" s="9">
        <v>46189</v>
      </c>
      <c r="D1929" s="10">
        <v>39853</v>
      </c>
    </row>
    <row r="1930" spans="1:4">
      <c r="A1930" t="s">
        <v>4</v>
      </c>
      <c r="B1930" t="s">
        <v>165</v>
      </c>
      <c r="C1930" s="9">
        <v>46189</v>
      </c>
      <c r="D1930" s="10">
        <v>35888</v>
      </c>
    </row>
    <row r="1931" spans="1:4">
      <c r="A1931" t="s">
        <v>25</v>
      </c>
      <c r="B1931" t="s">
        <v>251</v>
      </c>
      <c r="C1931" s="9">
        <v>46189</v>
      </c>
      <c r="D1931" s="10">
        <v>21305</v>
      </c>
    </row>
    <row r="1932" spans="1:4">
      <c r="A1932" t="s">
        <v>25</v>
      </c>
      <c r="B1932" t="s">
        <v>201</v>
      </c>
      <c r="C1932" s="9">
        <v>46189</v>
      </c>
      <c r="D1932" s="10">
        <v>13387</v>
      </c>
    </row>
    <row r="1933" spans="1:4">
      <c r="A1933" t="s">
        <v>6</v>
      </c>
      <c r="B1933" t="s">
        <v>124</v>
      </c>
      <c r="C1933" s="9">
        <v>46189</v>
      </c>
      <c r="D1933" s="10">
        <v>37360</v>
      </c>
    </row>
    <row r="1934" spans="1:4">
      <c r="A1934" t="s">
        <v>7</v>
      </c>
      <c r="B1934" t="s">
        <v>131</v>
      </c>
      <c r="C1934" s="9">
        <v>46189</v>
      </c>
      <c r="D1934" s="10">
        <v>25003</v>
      </c>
    </row>
    <row r="1935" spans="1:4">
      <c r="A1935" t="s">
        <v>7</v>
      </c>
      <c r="B1935" t="s">
        <v>62</v>
      </c>
      <c r="C1935" s="9">
        <v>46189</v>
      </c>
      <c r="D1935" s="10">
        <v>5200</v>
      </c>
    </row>
    <row r="1936" spans="1:4">
      <c r="A1936" t="s">
        <v>9</v>
      </c>
      <c r="B1936" t="s">
        <v>115</v>
      </c>
      <c r="C1936" s="9">
        <v>46189</v>
      </c>
      <c r="D1936" s="10">
        <v>32422</v>
      </c>
    </row>
    <row r="1937" spans="1:4">
      <c r="A1937" t="s">
        <v>5</v>
      </c>
      <c r="B1937" t="s">
        <v>94</v>
      </c>
      <c r="C1937" s="9">
        <v>46189</v>
      </c>
      <c r="D1937" s="10">
        <v>43418</v>
      </c>
    </row>
    <row r="1938" spans="1:4">
      <c r="A1938" t="s">
        <v>5</v>
      </c>
      <c r="B1938" t="s">
        <v>121</v>
      </c>
      <c r="C1938" s="9">
        <v>46189</v>
      </c>
      <c r="D1938" s="10">
        <v>46238</v>
      </c>
    </row>
    <row r="1939" spans="1:4">
      <c r="A1939" t="s">
        <v>5</v>
      </c>
      <c r="B1939" t="s">
        <v>176</v>
      </c>
      <c r="C1939" s="9">
        <v>46189</v>
      </c>
      <c r="D1939" s="10">
        <v>43673</v>
      </c>
    </row>
    <row r="1940" spans="1:4">
      <c r="A1940" t="s">
        <v>5</v>
      </c>
      <c r="B1940" t="s">
        <v>230</v>
      </c>
      <c r="C1940" s="9">
        <v>46189</v>
      </c>
      <c r="D1940" s="10">
        <v>43195</v>
      </c>
    </row>
    <row r="1941" spans="1:4">
      <c r="A1941" t="s">
        <v>5</v>
      </c>
      <c r="B1941" t="s">
        <v>95</v>
      </c>
      <c r="C1941" s="9">
        <v>46189</v>
      </c>
      <c r="D1941" s="10">
        <v>37878</v>
      </c>
    </row>
    <row r="1942" spans="1:4">
      <c r="A1942" t="s">
        <v>5</v>
      </c>
      <c r="B1942" t="s">
        <v>79</v>
      </c>
      <c r="C1942" s="9">
        <v>46189</v>
      </c>
      <c r="D1942" s="10">
        <v>40230</v>
      </c>
    </row>
    <row r="1943" spans="1:4">
      <c r="A1943" t="s">
        <v>27</v>
      </c>
      <c r="B1943" t="s">
        <v>144</v>
      </c>
      <c r="C1943" s="9">
        <v>46190</v>
      </c>
      <c r="D1943" s="10">
        <v>14349</v>
      </c>
    </row>
    <row r="1944" spans="1:4">
      <c r="A1944" t="s">
        <v>27</v>
      </c>
      <c r="B1944" t="s">
        <v>238</v>
      </c>
      <c r="C1944" s="9">
        <v>46190</v>
      </c>
      <c r="D1944" s="10">
        <v>12844</v>
      </c>
    </row>
    <row r="1945" spans="1:4">
      <c r="A1945" t="s">
        <v>4</v>
      </c>
      <c r="B1945" t="s">
        <v>265</v>
      </c>
      <c r="C1945" s="9">
        <v>46190</v>
      </c>
      <c r="D1945" s="10">
        <v>36806</v>
      </c>
    </row>
    <row r="1946" spans="1:4">
      <c r="A1946" t="s">
        <v>4</v>
      </c>
      <c r="B1946" t="s">
        <v>125</v>
      </c>
      <c r="C1946" s="9">
        <v>46190</v>
      </c>
      <c r="D1946" s="10">
        <v>33214</v>
      </c>
    </row>
    <row r="1947" spans="1:4">
      <c r="A1947" t="s">
        <v>26</v>
      </c>
      <c r="B1947" t="s">
        <v>73</v>
      </c>
      <c r="C1947" s="9">
        <v>46190</v>
      </c>
      <c r="D1947" s="10">
        <v>20667</v>
      </c>
    </row>
    <row r="1948" spans="1:4">
      <c r="A1948" t="s">
        <v>30</v>
      </c>
      <c r="B1948" t="s">
        <v>195</v>
      </c>
      <c r="C1948" s="9">
        <v>46190</v>
      </c>
      <c r="D1948" s="10">
        <v>13688</v>
      </c>
    </row>
    <row r="1949" spans="1:4">
      <c r="A1949" t="s">
        <v>29</v>
      </c>
      <c r="B1949" t="s">
        <v>289</v>
      </c>
      <c r="C1949" s="9">
        <v>46190</v>
      </c>
      <c r="D1949" s="10">
        <v>12003</v>
      </c>
    </row>
    <row r="1950" spans="1:4">
      <c r="A1950" t="s">
        <v>7</v>
      </c>
      <c r="B1950" t="s">
        <v>267</v>
      </c>
      <c r="C1950" s="9">
        <v>46190</v>
      </c>
      <c r="D1950" s="10">
        <v>27106</v>
      </c>
    </row>
    <row r="1951" spans="1:4">
      <c r="A1951" t="s">
        <v>9</v>
      </c>
      <c r="B1951" t="s">
        <v>291</v>
      </c>
      <c r="C1951" s="9">
        <v>46190</v>
      </c>
      <c r="D1951" s="10">
        <v>22593</v>
      </c>
    </row>
    <row r="1952" spans="1:4">
      <c r="A1952" t="s">
        <v>5</v>
      </c>
      <c r="B1952" t="s">
        <v>272</v>
      </c>
      <c r="C1952" s="9">
        <v>46190</v>
      </c>
      <c r="D1952" s="10">
        <v>39727</v>
      </c>
    </row>
    <row r="1953" spans="1:4">
      <c r="A1953" t="s">
        <v>5</v>
      </c>
      <c r="B1953" t="s">
        <v>78</v>
      </c>
      <c r="C1953" s="9">
        <v>46190</v>
      </c>
      <c r="D1953" s="10">
        <v>42584</v>
      </c>
    </row>
    <row r="1954" spans="1:4">
      <c r="A1954" t="s">
        <v>5</v>
      </c>
      <c r="B1954" t="s">
        <v>199</v>
      </c>
      <c r="C1954" s="9">
        <v>46190</v>
      </c>
      <c r="D1954" s="10">
        <v>52822</v>
      </c>
    </row>
    <row r="1955" spans="1:4">
      <c r="A1955" t="s">
        <v>5</v>
      </c>
      <c r="B1955" t="s">
        <v>79</v>
      </c>
      <c r="C1955" s="9">
        <v>46190</v>
      </c>
      <c r="D1955" s="10">
        <v>28216</v>
      </c>
    </row>
    <row r="1956" spans="1:4">
      <c r="A1956" t="s">
        <v>27</v>
      </c>
      <c r="B1956" t="s">
        <v>212</v>
      </c>
      <c r="C1956" s="9">
        <v>46191</v>
      </c>
      <c r="D1956" s="10">
        <v>8115</v>
      </c>
    </row>
    <row r="1957" spans="1:4">
      <c r="A1957" t="s">
        <v>4</v>
      </c>
      <c r="B1957" t="s">
        <v>188</v>
      </c>
      <c r="C1957" s="9">
        <v>46191</v>
      </c>
      <c r="D1957" s="10">
        <v>13859</v>
      </c>
    </row>
    <row r="1958" spans="1:4">
      <c r="A1958" t="s">
        <v>30</v>
      </c>
      <c r="B1958" t="s">
        <v>279</v>
      </c>
      <c r="C1958" s="9">
        <v>46191</v>
      </c>
      <c r="D1958" s="10">
        <v>12578</v>
      </c>
    </row>
    <row r="1959" spans="1:4">
      <c r="A1959" t="s">
        <v>6</v>
      </c>
      <c r="B1959" t="s">
        <v>113</v>
      </c>
      <c r="C1959" s="9">
        <v>46191</v>
      </c>
      <c r="D1959" s="10">
        <v>18593</v>
      </c>
    </row>
    <row r="1960" spans="1:4">
      <c r="A1960" t="s">
        <v>7</v>
      </c>
      <c r="B1960" t="s">
        <v>264</v>
      </c>
      <c r="C1960" s="9">
        <v>46191</v>
      </c>
      <c r="D1960" s="10">
        <v>48877</v>
      </c>
    </row>
    <row r="1961" spans="1:4">
      <c r="A1961" t="s">
        <v>5</v>
      </c>
      <c r="B1961" t="s">
        <v>134</v>
      </c>
      <c r="C1961" s="9">
        <v>46191</v>
      </c>
      <c r="D1961" s="10">
        <v>24634</v>
      </c>
    </row>
    <row r="1962" spans="1:4">
      <c r="A1962" t="s">
        <v>5</v>
      </c>
      <c r="B1962" t="s">
        <v>224</v>
      </c>
      <c r="C1962" s="9">
        <v>46191</v>
      </c>
      <c r="D1962" s="10">
        <v>44438</v>
      </c>
    </row>
    <row r="1963" spans="1:4">
      <c r="A1963" t="s">
        <v>5</v>
      </c>
      <c r="B1963" t="s">
        <v>67</v>
      </c>
      <c r="C1963" s="9">
        <v>46191</v>
      </c>
      <c r="D1963" s="10">
        <v>50960</v>
      </c>
    </row>
    <row r="1964" spans="1:4">
      <c r="A1964" t="s">
        <v>5</v>
      </c>
      <c r="B1964" t="s">
        <v>77</v>
      </c>
      <c r="C1964" s="9">
        <v>46191</v>
      </c>
      <c r="D1964" s="10">
        <v>54367</v>
      </c>
    </row>
    <row r="1965" spans="1:4">
      <c r="A1965" t="s">
        <v>5</v>
      </c>
      <c r="B1965" t="s">
        <v>136</v>
      </c>
      <c r="C1965" s="9">
        <v>46191</v>
      </c>
      <c r="D1965" s="10">
        <v>34753</v>
      </c>
    </row>
    <row r="1966" spans="1:4">
      <c r="A1966" t="s">
        <v>5</v>
      </c>
      <c r="B1966" t="s">
        <v>169</v>
      </c>
      <c r="C1966" s="9">
        <v>46191</v>
      </c>
      <c r="D1966" s="10">
        <v>38843</v>
      </c>
    </row>
    <row r="1967" spans="1:4">
      <c r="A1967" t="s">
        <v>4</v>
      </c>
      <c r="B1967" t="s">
        <v>68</v>
      </c>
      <c r="C1967" s="9">
        <v>46192</v>
      </c>
      <c r="D1967" s="10">
        <v>45129</v>
      </c>
    </row>
    <row r="1968" spans="1:4">
      <c r="A1968" t="s">
        <v>4</v>
      </c>
      <c r="B1968" t="s">
        <v>146</v>
      </c>
      <c r="C1968" s="9">
        <v>46192</v>
      </c>
      <c r="D1968" s="10">
        <v>34598</v>
      </c>
    </row>
    <row r="1969" spans="1:4">
      <c r="A1969" t="s">
        <v>25</v>
      </c>
      <c r="B1969" t="s">
        <v>59</v>
      </c>
      <c r="C1969" s="9">
        <v>46192</v>
      </c>
      <c r="D1969" s="10">
        <v>9163</v>
      </c>
    </row>
    <row r="1970" spans="1:4">
      <c r="A1970" t="s">
        <v>25</v>
      </c>
      <c r="B1970" t="s">
        <v>240</v>
      </c>
      <c r="C1970" s="9">
        <v>46192</v>
      </c>
      <c r="D1970" s="10">
        <v>10169</v>
      </c>
    </row>
    <row r="1971" spans="1:4">
      <c r="A1971" t="s">
        <v>30</v>
      </c>
      <c r="B1971" t="s">
        <v>157</v>
      </c>
      <c r="C1971" s="9">
        <v>46192</v>
      </c>
      <c r="D1971" s="10">
        <v>12350</v>
      </c>
    </row>
    <row r="1972" spans="1:4">
      <c r="A1972" t="s">
        <v>8</v>
      </c>
      <c r="B1972" t="s">
        <v>227</v>
      </c>
      <c r="C1972" s="9">
        <v>46192</v>
      </c>
      <c r="D1972" s="10">
        <v>29166</v>
      </c>
    </row>
    <row r="1973" spans="1:4">
      <c r="A1973" t="s">
        <v>8</v>
      </c>
      <c r="B1973" t="s">
        <v>112</v>
      </c>
      <c r="C1973" s="9">
        <v>46192</v>
      </c>
      <c r="D1973" s="10">
        <v>7504</v>
      </c>
    </row>
    <row r="1974" spans="1:4">
      <c r="A1974" t="s">
        <v>6</v>
      </c>
      <c r="B1974" t="s">
        <v>172</v>
      </c>
      <c r="C1974" s="9">
        <v>46192</v>
      </c>
      <c r="D1974" s="10">
        <v>19065</v>
      </c>
    </row>
    <row r="1975" spans="1:4">
      <c r="A1975" t="s">
        <v>9</v>
      </c>
      <c r="B1975" t="s">
        <v>291</v>
      </c>
      <c r="C1975" s="9">
        <v>46192</v>
      </c>
      <c r="D1975" s="10">
        <v>35170</v>
      </c>
    </row>
    <row r="1976" spans="1:4">
      <c r="A1976" t="s">
        <v>9</v>
      </c>
      <c r="B1976" t="s">
        <v>191</v>
      </c>
      <c r="C1976" s="9">
        <v>46192</v>
      </c>
      <c r="D1976" s="10">
        <v>43601</v>
      </c>
    </row>
    <row r="1977" spans="1:4">
      <c r="A1977" t="s">
        <v>9</v>
      </c>
      <c r="B1977" t="s">
        <v>293</v>
      </c>
      <c r="C1977" s="9">
        <v>46192</v>
      </c>
      <c r="D1977" s="10">
        <v>48912</v>
      </c>
    </row>
    <row r="1978" spans="1:4">
      <c r="A1978" t="s">
        <v>5</v>
      </c>
      <c r="B1978" t="s">
        <v>77</v>
      </c>
      <c r="C1978" s="9">
        <v>46192</v>
      </c>
      <c r="D1978" s="10">
        <v>35615</v>
      </c>
    </row>
    <row r="1979" spans="1:4">
      <c r="A1979" t="s">
        <v>5</v>
      </c>
      <c r="B1979" t="s">
        <v>109</v>
      </c>
      <c r="C1979" s="9">
        <v>46192</v>
      </c>
      <c r="D1979" s="10">
        <v>40657</v>
      </c>
    </row>
    <row r="1980" spans="1:4">
      <c r="A1980" t="s">
        <v>27</v>
      </c>
      <c r="B1980" t="s">
        <v>200</v>
      </c>
      <c r="C1980" s="9">
        <v>46193</v>
      </c>
      <c r="D1980" s="10">
        <v>24941</v>
      </c>
    </row>
    <row r="1981" spans="1:4">
      <c r="A1981" t="s">
        <v>4</v>
      </c>
      <c r="B1981" t="s">
        <v>119</v>
      </c>
      <c r="C1981" s="9">
        <v>46193</v>
      </c>
      <c r="D1981" s="10">
        <v>30866</v>
      </c>
    </row>
    <row r="1982" spans="1:4">
      <c r="A1982" t="s">
        <v>7</v>
      </c>
      <c r="B1982" t="s">
        <v>282</v>
      </c>
      <c r="C1982" s="9">
        <v>46193</v>
      </c>
      <c r="D1982" s="10">
        <v>22818</v>
      </c>
    </row>
    <row r="1983" spans="1:4">
      <c r="A1983" t="s">
        <v>9</v>
      </c>
      <c r="B1983" t="s">
        <v>106</v>
      </c>
      <c r="C1983" s="9">
        <v>46193</v>
      </c>
      <c r="D1983" s="10">
        <v>26938</v>
      </c>
    </row>
    <row r="1984" spans="1:4">
      <c r="A1984" t="s">
        <v>9</v>
      </c>
      <c r="B1984" t="s">
        <v>132</v>
      </c>
      <c r="C1984" s="9">
        <v>46193</v>
      </c>
      <c r="D1984" s="10">
        <v>29590</v>
      </c>
    </row>
    <row r="1985" spans="1:4">
      <c r="A1985" t="s">
        <v>9</v>
      </c>
      <c r="B1985" t="s">
        <v>169</v>
      </c>
      <c r="C1985" s="9">
        <v>46193</v>
      </c>
      <c r="D1985" s="10">
        <v>40806</v>
      </c>
    </row>
    <row r="1986" spans="1:4">
      <c r="A1986" t="s">
        <v>5</v>
      </c>
      <c r="B1986" t="s">
        <v>116</v>
      </c>
      <c r="C1986" s="9">
        <v>46193</v>
      </c>
      <c r="D1986" s="10">
        <v>52376</v>
      </c>
    </row>
    <row r="1987" spans="1:4">
      <c r="A1987" t="s">
        <v>5</v>
      </c>
      <c r="B1987" t="s">
        <v>224</v>
      </c>
      <c r="C1987" s="9">
        <v>46193</v>
      </c>
      <c r="D1987" s="10">
        <v>50079</v>
      </c>
    </row>
    <row r="1988" spans="1:4">
      <c r="A1988" t="s">
        <v>5</v>
      </c>
      <c r="B1988" t="s">
        <v>78</v>
      </c>
      <c r="C1988" s="9">
        <v>46193</v>
      </c>
      <c r="D1988" s="10">
        <v>38588</v>
      </c>
    </row>
    <row r="1989" spans="1:4">
      <c r="A1989" t="s">
        <v>5</v>
      </c>
      <c r="B1989" t="s">
        <v>117</v>
      </c>
      <c r="C1989" s="9">
        <v>46193</v>
      </c>
      <c r="D1989" s="10">
        <v>37838</v>
      </c>
    </row>
    <row r="1990" spans="1:4">
      <c r="A1990" t="s">
        <v>5</v>
      </c>
      <c r="B1990" t="s">
        <v>199</v>
      </c>
      <c r="C1990" s="9">
        <v>46193</v>
      </c>
      <c r="D1990" s="10">
        <v>37300</v>
      </c>
    </row>
    <row r="1991" spans="1:4">
      <c r="A1991" t="s">
        <v>27</v>
      </c>
      <c r="B1991" t="s">
        <v>190</v>
      </c>
      <c r="C1991" s="9">
        <v>46194</v>
      </c>
      <c r="D1991" s="10">
        <v>16225</v>
      </c>
    </row>
    <row r="1992" spans="1:4">
      <c r="A1992" t="s">
        <v>27</v>
      </c>
      <c r="B1992" t="s">
        <v>103</v>
      </c>
      <c r="C1992" s="9">
        <v>46194</v>
      </c>
      <c r="D1992" s="10">
        <v>8868</v>
      </c>
    </row>
    <row r="1993" spans="1:4">
      <c r="A1993" t="s">
        <v>8</v>
      </c>
      <c r="B1993" t="s">
        <v>182</v>
      </c>
      <c r="C1993" s="9">
        <v>46194</v>
      </c>
      <c r="D1993" s="10">
        <v>30545</v>
      </c>
    </row>
    <row r="1994" spans="1:4">
      <c r="A1994" t="s">
        <v>32</v>
      </c>
      <c r="B1994" t="s">
        <v>269</v>
      </c>
      <c r="C1994" s="9">
        <v>46194</v>
      </c>
      <c r="D1994" s="10">
        <v>10643</v>
      </c>
    </row>
    <row r="1995" spans="1:4">
      <c r="A1995" t="s">
        <v>7</v>
      </c>
      <c r="B1995" t="s">
        <v>266</v>
      </c>
      <c r="C1995" s="9">
        <v>46194</v>
      </c>
      <c r="D1995" s="10">
        <v>5387</v>
      </c>
    </row>
    <row r="1996" spans="1:4">
      <c r="A1996" t="s">
        <v>37</v>
      </c>
      <c r="B1996" t="s">
        <v>164</v>
      </c>
      <c r="C1996" s="9">
        <v>46194</v>
      </c>
      <c r="D1996" s="10">
        <v>14805</v>
      </c>
    </row>
    <row r="1997" spans="1:4">
      <c r="A1997" t="s">
        <v>9</v>
      </c>
      <c r="B1997" t="s">
        <v>63</v>
      </c>
      <c r="C1997" s="9">
        <v>46194</v>
      </c>
      <c r="D1997" s="10">
        <v>23605</v>
      </c>
    </row>
    <row r="1998" spans="1:4">
      <c r="A1998" t="s">
        <v>9</v>
      </c>
      <c r="B1998" t="s">
        <v>268</v>
      </c>
      <c r="C1998" s="9">
        <v>46194</v>
      </c>
      <c r="D1998" s="10">
        <v>20970</v>
      </c>
    </row>
    <row r="1999" spans="1:4">
      <c r="A1999" t="s">
        <v>9</v>
      </c>
      <c r="B1999" t="s">
        <v>174</v>
      </c>
      <c r="C1999" s="9">
        <v>46194</v>
      </c>
      <c r="D1999" s="10">
        <v>31091</v>
      </c>
    </row>
    <row r="2000" spans="1:4">
      <c r="A2000" t="s">
        <v>9</v>
      </c>
      <c r="B2000" t="s">
        <v>197</v>
      </c>
      <c r="C2000" s="9">
        <v>46194</v>
      </c>
      <c r="D2000" s="10">
        <v>32410</v>
      </c>
    </row>
    <row r="2001" spans="1:4">
      <c r="A2001" t="s">
        <v>5</v>
      </c>
      <c r="B2001" t="s">
        <v>258</v>
      </c>
      <c r="C2001" s="9">
        <v>46194</v>
      </c>
      <c r="D2001" s="10">
        <v>35445</v>
      </c>
    </row>
    <row r="2002" spans="1:4">
      <c r="A2002" t="s">
        <v>5</v>
      </c>
      <c r="B2002" t="s">
        <v>177</v>
      </c>
      <c r="C2002" s="9">
        <v>46194</v>
      </c>
      <c r="D2002" s="10">
        <v>45543</v>
      </c>
    </row>
    <row r="2003" spans="1:4">
      <c r="A2003" t="s">
        <v>4</v>
      </c>
      <c r="B2003" t="s">
        <v>142</v>
      </c>
      <c r="C2003" s="9">
        <v>46195</v>
      </c>
      <c r="D2003" s="10">
        <v>31024</v>
      </c>
    </row>
    <row r="2004" spans="1:4">
      <c r="A2004" t="s">
        <v>28</v>
      </c>
      <c r="B2004" t="s">
        <v>237</v>
      </c>
      <c r="C2004" s="9">
        <v>46195</v>
      </c>
      <c r="D2004" s="10">
        <v>10107</v>
      </c>
    </row>
    <row r="2005" spans="1:4">
      <c r="A2005" t="s">
        <v>6</v>
      </c>
      <c r="B2005" t="s">
        <v>243</v>
      </c>
      <c r="C2005" s="9">
        <v>46195</v>
      </c>
      <c r="D2005" s="10">
        <v>24401</v>
      </c>
    </row>
    <row r="2006" spans="1:4">
      <c r="A2006" t="s">
        <v>29</v>
      </c>
      <c r="B2006" t="s">
        <v>281</v>
      </c>
      <c r="C2006" s="9">
        <v>46195</v>
      </c>
      <c r="D2006" s="10">
        <v>5200</v>
      </c>
    </row>
    <row r="2007" spans="1:4">
      <c r="A2007" t="s">
        <v>7</v>
      </c>
      <c r="B2007" t="s">
        <v>150</v>
      </c>
      <c r="C2007" s="9">
        <v>46195</v>
      </c>
      <c r="D2007" s="10">
        <v>22222</v>
      </c>
    </row>
    <row r="2008" spans="1:4">
      <c r="A2008" t="s">
        <v>9</v>
      </c>
      <c r="B2008" t="s">
        <v>191</v>
      </c>
      <c r="C2008" s="9">
        <v>46195</v>
      </c>
      <c r="D2008" s="10">
        <v>29643</v>
      </c>
    </row>
    <row r="2009" spans="1:4">
      <c r="A2009" t="s">
        <v>5</v>
      </c>
      <c r="B2009" t="s">
        <v>66</v>
      </c>
      <c r="C2009" s="9">
        <v>46195</v>
      </c>
      <c r="D2009" s="10">
        <v>26695</v>
      </c>
    </row>
    <row r="2010" spans="1:4">
      <c r="A2010" t="s">
        <v>5</v>
      </c>
      <c r="B2010" t="s">
        <v>211</v>
      </c>
      <c r="C2010" s="9">
        <v>46195</v>
      </c>
      <c r="D2010" s="10">
        <v>17320</v>
      </c>
    </row>
    <row r="2011" spans="1:4">
      <c r="A2011" t="s">
        <v>5</v>
      </c>
      <c r="B2011" t="s">
        <v>75</v>
      </c>
      <c r="C2011" s="9">
        <v>46195</v>
      </c>
      <c r="D2011" s="10">
        <v>21245</v>
      </c>
    </row>
    <row r="2012" spans="1:4">
      <c r="A2012" t="s">
        <v>5</v>
      </c>
      <c r="B2012" t="s">
        <v>230</v>
      </c>
      <c r="C2012" s="9">
        <v>46195</v>
      </c>
      <c r="D2012" s="10">
        <v>46761</v>
      </c>
    </row>
    <row r="2013" spans="1:4">
      <c r="A2013" t="s">
        <v>5</v>
      </c>
      <c r="B2013" t="s">
        <v>108</v>
      </c>
      <c r="C2013" s="9">
        <v>46195</v>
      </c>
      <c r="D2013" s="10">
        <v>41222</v>
      </c>
    </row>
    <row r="2014" spans="1:4">
      <c r="A2014" t="s">
        <v>5</v>
      </c>
      <c r="B2014" t="s">
        <v>168</v>
      </c>
      <c r="C2014" s="9">
        <v>46195</v>
      </c>
      <c r="D2014" s="10">
        <v>40110</v>
      </c>
    </row>
    <row r="2015" spans="1:4">
      <c r="A2015" t="s">
        <v>5</v>
      </c>
      <c r="B2015" t="s">
        <v>210</v>
      </c>
      <c r="C2015" s="9">
        <v>46195</v>
      </c>
      <c r="D2015" s="10">
        <v>46769</v>
      </c>
    </row>
    <row r="2016" spans="1:4">
      <c r="A2016" t="s">
        <v>38</v>
      </c>
      <c r="B2016" t="s">
        <v>58</v>
      </c>
      <c r="C2016" s="9">
        <v>46196</v>
      </c>
      <c r="D2016" s="10">
        <v>12078</v>
      </c>
    </row>
    <row r="2017" spans="1:4">
      <c r="A2017" t="s">
        <v>29</v>
      </c>
      <c r="B2017" t="s">
        <v>114</v>
      </c>
      <c r="C2017" s="9">
        <v>46196</v>
      </c>
      <c r="D2017" s="10">
        <v>25076</v>
      </c>
    </row>
    <row r="2018" spans="1:4">
      <c r="A2018" t="s">
        <v>7</v>
      </c>
      <c r="B2018" t="s">
        <v>72</v>
      </c>
      <c r="C2018" s="9">
        <v>46196</v>
      </c>
      <c r="D2018" s="10">
        <v>22289</v>
      </c>
    </row>
    <row r="2019" spans="1:4">
      <c r="A2019" t="s">
        <v>9</v>
      </c>
      <c r="B2019" t="s">
        <v>205</v>
      </c>
      <c r="C2019" s="9">
        <v>46196</v>
      </c>
      <c r="D2019" s="10">
        <v>24922</v>
      </c>
    </row>
    <row r="2020" spans="1:4">
      <c r="A2020" t="s">
        <v>9</v>
      </c>
      <c r="B2020" t="s">
        <v>276</v>
      </c>
      <c r="C2020" s="9">
        <v>46196</v>
      </c>
      <c r="D2020" s="10">
        <v>12439</v>
      </c>
    </row>
    <row r="2021" spans="1:4">
      <c r="A2021" t="s">
        <v>9</v>
      </c>
      <c r="B2021" t="s">
        <v>91</v>
      </c>
      <c r="C2021" s="9">
        <v>46196</v>
      </c>
      <c r="D2021" s="10">
        <v>27258</v>
      </c>
    </row>
    <row r="2022" spans="1:4">
      <c r="A2022" t="s">
        <v>9</v>
      </c>
      <c r="B2022" t="s">
        <v>223</v>
      </c>
      <c r="C2022" s="9">
        <v>46196</v>
      </c>
      <c r="D2022" s="10">
        <v>43839</v>
      </c>
    </row>
    <row r="2023" spans="1:4">
      <c r="A2023" t="s">
        <v>5</v>
      </c>
      <c r="B2023" t="s">
        <v>141</v>
      </c>
      <c r="C2023" s="9">
        <v>46196</v>
      </c>
      <c r="D2023" s="10">
        <v>33535</v>
      </c>
    </row>
    <row r="2024" spans="1:4">
      <c r="A2024" t="s">
        <v>5</v>
      </c>
      <c r="B2024" t="s">
        <v>77</v>
      </c>
      <c r="C2024" s="9">
        <v>46196</v>
      </c>
      <c r="D2024" s="10">
        <v>38895</v>
      </c>
    </row>
    <row r="2025" spans="1:4">
      <c r="A2025" t="s">
        <v>5</v>
      </c>
      <c r="B2025" t="s">
        <v>107</v>
      </c>
      <c r="C2025" s="9">
        <v>46196</v>
      </c>
      <c r="D2025" s="10">
        <v>28126</v>
      </c>
    </row>
    <row r="2026" spans="1:4">
      <c r="A2026" t="s">
        <v>5</v>
      </c>
      <c r="B2026" t="s">
        <v>175</v>
      </c>
      <c r="C2026" s="9">
        <v>46196</v>
      </c>
      <c r="D2026" s="10">
        <v>55885</v>
      </c>
    </row>
    <row r="2027" spans="1:4">
      <c r="A2027" t="s">
        <v>5</v>
      </c>
      <c r="B2027" t="s">
        <v>122</v>
      </c>
      <c r="C2027" s="9">
        <v>46196</v>
      </c>
      <c r="D2027" s="10">
        <v>36525</v>
      </c>
    </row>
    <row r="2028" spans="1:4">
      <c r="A2028" t="s">
        <v>5</v>
      </c>
      <c r="B2028" t="s">
        <v>210</v>
      </c>
      <c r="C2028" s="9">
        <v>46196</v>
      </c>
      <c r="D2028" s="10">
        <v>39999</v>
      </c>
    </row>
    <row r="2029" spans="1:4">
      <c r="A2029" t="s">
        <v>4</v>
      </c>
      <c r="B2029" t="s">
        <v>123</v>
      </c>
      <c r="C2029" s="9">
        <v>46197</v>
      </c>
      <c r="D2029" s="10">
        <v>32989</v>
      </c>
    </row>
    <row r="2030" spans="1:4">
      <c r="A2030" t="s">
        <v>4</v>
      </c>
      <c r="B2030" t="s">
        <v>234</v>
      </c>
      <c r="C2030" s="9">
        <v>46197</v>
      </c>
      <c r="D2030" s="10">
        <v>8073</v>
      </c>
    </row>
    <row r="2031" spans="1:4">
      <c r="A2031" t="s">
        <v>25</v>
      </c>
      <c r="B2031" t="s">
        <v>97</v>
      </c>
      <c r="C2031" s="9">
        <v>46197</v>
      </c>
      <c r="D2031" s="10">
        <v>14541</v>
      </c>
    </row>
    <row r="2032" spans="1:4">
      <c r="A2032" t="s">
        <v>8</v>
      </c>
      <c r="B2032" t="s">
        <v>160</v>
      </c>
      <c r="C2032" s="9">
        <v>46197</v>
      </c>
      <c r="D2032" s="10">
        <v>18231</v>
      </c>
    </row>
    <row r="2033" spans="1:4">
      <c r="A2033" t="s">
        <v>8</v>
      </c>
      <c r="B2033" t="s">
        <v>253</v>
      </c>
      <c r="C2033" s="9">
        <v>46197</v>
      </c>
      <c r="D2033" s="10">
        <v>17837</v>
      </c>
    </row>
    <row r="2034" spans="1:4">
      <c r="A2034" t="s">
        <v>7</v>
      </c>
      <c r="B2034" t="s">
        <v>173</v>
      </c>
      <c r="C2034" s="9">
        <v>46197</v>
      </c>
      <c r="D2034" s="10">
        <v>24177</v>
      </c>
    </row>
    <row r="2035" spans="1:4">
      <c r="A2035" t="s">
        <v>5</v>
      </c>
      <c r="B2035" t="s">
        <v>93</v>
      </c>
      <c r="C2035" s="9">
        <v>46197</v>
      </c>
      <c r="D2035" s="10">
        <v>39931</v>
      </c>
    </row>
    <row r="2036" spans="1:4">
      <c r="A2036" t="s">
        <v>5</v>
      </c>
      <c r="B2036" t="s">
        <v>94</v>
      </c>
      <c r="C2036" s="9">
        <v>46197</v>
      </c>
      <c r="D2036" s="10">
        <v>32399</v>
      </c>
    </row>
    <row r="2037" spans="1:4">
      <c r="A2037" t="s">
        <v>5</v>
      </c>
      <c r="B2037" t="s">
        <v>108</v>
      </c>
      <c r="C2037" s="9">
        <v>46197</v>
      </c>
      <c r="D2037" s="10">
        <v>45738</v>
      </c>
    </row>
    <row r="2038" spans="1:4">
      <c r="A2038" t="s">
        <v>5</v>
      </c>
      <c r="B2038" t="s">
        <v>109</v>
      </c>
      <c r="C2038" s="9">
        <v>46197</v>
      </c>
      <c r="D2038" s="10">
        <v>56295</v>
      </c>
    </row>
    <row r="2039" spans="1:4">
      <c r="A2039" t="s">
        <v>5</v>
      </c>
      <c r="B2039" t="s">
        <v>143</v>
      </c>
      <c r="C2039" s="9">
        <v>46197</v>
      </c>
      <c r="D2039" s="10">
        <v>42126</v>
      </c>
    </row>
    <row r="2040" spans="1:4">
      <c r="A2040" t="s">
        <v>5</v>
      </c>
      <c r="B2040" t="s">
        <v>71</v>
      </c>
      <c r="C2040" s="9">
        <v>46197</v>
      </c>
      <c r="D2040" s="10">
        <v>34073</v>
      </c>
    </row>
    <row r="2041" spans="1:4">
      <c r="A2041" t="s">
        <v>4</v>
      </c>
      <c r="B2041" t="s">
        <v>285</v>
      </c>
      <c r="C2041" s="9">
        <v>46198</v>
      </c>
      <c r="D2041" s="10">
        <v>31986</v>
      </c>
    </row>
    <row r="2042" spans="1:4">
      <c r="A2042" t="s">
        <v>4</v>
      </c>
      <c r="B2042" t="s">
        <v>101</v>
      </c>
      <c r="C2042" s="9">
        <v>46198</v>
      </c>
      <c r="D2042" s="10">
        <v>18273</v>
      </c>
    </row>
    <row r="2043" spans="1:4">
      <c r="A2043" t="s">
        <v>4</v>
      </c>
      <c r="B2043" t="s">
        <v>277</v>
      </c>
      <c r="C2043" s="9">
        <v>46198</v>
      </c>
      <c r="D2043" s="10">
        <v>29585</v>
      </c>
    </row>
    <row r="2044" spans="1:4">
      <c r="A2044" t="s">
        <v>25</v>
      </c>
      <c r="B2044" t="s">
        <v>126</v>
      </c>
      <c r="C2044" s="9">
        <v>46198</v>
      </c>
      <c r="D2044" s="10">
        <v>16746</v>
      </c>
    </row>
    <row r="2045" spans="1:4">
      <c r="A2045" t="s">
        <v>8</v>
      </c>
      <c r="B2045" t="s">
        <v>248</v>
      </c>
      <c r="C2045" s="9">
        <v>46198</v>
      </c>
      <c r="D2045" s="10">
        <v>13403</v>
      </c>
    </row>
    <row r="2046" spans="1:4">
      <c r="A2046" t="s">
        <v>29</v>
      </c>
      <c r="B2046" t="s">
        <v>229</v>
      </c>
      <c r="C2046" s="9">
        <v>46198</v>
      </c>
      <c r="D2046" s="10">
        <v>23409</v>
      </c>
    </row>
    <row r="2047" spans="1:4">
      <c r="A2047" t="s">
        <v>9</v>
      </c>
      <c r="B2047" t="s">
        <v>102</v>
      </c>
      <c r="C2047" s="9">
        <v>46198</v>
      </c>
      <c r="D2047" s="10">
        <v>34522</v>
      </c>
    </row>
    <row r="2048" spans="1:4">
      <c r="A2048" t="s">
        <v>9</v>
      </c>
      <c r="B2048" t="s">
        <v>205</v>
      </c>
      <c r="C2048" s="9">
        <v>46198</v>
      </c>
      <c r="D2048" s="10">
        <v>34669</v>
      </c>
    </row>
    <row r="2049" spans="1:4">
      <c r="A2049" t="s">
        <v>5</v>
      </c>
      <c r="B2049" t="s">
        <v>67</v>
      </c>
      <c r="C2049" s="9">
        <v>46198</v>
      </c>
      <c r="D2049" s="10">
        <v>40728</v>
      </c>
    </row>
    <row r="2050" spans="1:4">
      <c r="A2050" t="s">
        <v>5</v>
      </c>
      <c r="B2050" t="s">
        <v>121</v>
      </c>
      <c r="C2050" s="9">
        <v>46198</v>
      </c>
      <c r="D2050" s="10">
        <v>46721</v>
      </c>
    </row>
    <row r="2051" spans="1:4">
      <c r="A2051" t="s">
        <v>35</v>
      </c>
      <c r="B2051" t="s">
        <v>246</v>
      </c>
      <c r="C2051" s="9">
        <v>46199</v>
      </c>
      <c r="D2051" s="10">
        <v>24346</v>
      </c>
    </row>
    <row r="2052" spans="1:4">
      <c r="A2052" t="s">
        <v>4</v>
      </c>
      <c r="B2052" t="s">
        <v>154</v>
      </c>
      <c r="C2052" s="9">
        <v>46199</v>
      </c>
      <c r="D2052" s="10">
        <v>41122</v>
      </c>
    </row>
    <row r="2053" spans="1:4">
      <c r="A2053" t="s">
        <v>31</v>
      </c>
      <c r="B2053" t="s">
        <v>83</v>
      </c>
      <c r="C2053" s="9">
        <v>46199</v>
      </c>
      <c r="D2053" s="10">
        <v>6989</v>
      </c>
    </row>
    <row r="2054" spans="1:4">
      <c r="A2054" t="s">
        <v>28</v>
      </c>
      <c r="B2054" t="s">
        <v>215</v>
      </c>
      <c r="C2054" s="9">
        <v>46199</v>
      </c>
      <c r="D2054" s="10">
        <v>14849</v>
      </c>
    </row>
    <row r="2055" spans="1:4">
      <c r="A2055" t="s">
        <v>8</v>
      </c>
      <c r="B2055" t="s">
        <v>87</v>
      </c>
      <c r="C2055" s="9">
        <v>46199</v>
      </c>
      <c r="D2055" s="10">
        <v>11034</v>
      </c>
    </row>
    <row r="2056" spans="1:4">
      <c r="A2056" t="s">
        <v>8</v>
      </c>
      <c r="B2056" t="s">
        <v>183</v>
      </c>
      <c r="C2056" s="9">
        <v>46199</v>
      </c>
      <c r="D2056" s="10">
        <v>17259</v>
      </c>
    </row>
    <row r="2057" spans="1:4">
      <c r="A2057" t="s">
        <v>7</v>
      </c>
      <c r="B2057" t="s">
        <v>162</v>
      </c>
      <c r="C2057" s="9">
        <v>46199</v>
      </c>
      <c r="D2057" s="10">
        <v>24696</v>
      </c>
    </row>
    <row r="2058" spans="1:4">
      <c r="A2058" t="s">
        <v>9</v>
      </c>
      <c r="B2058" t="s">
        <v>76</v>
      </c>
      <c r="C2058" s="9">
        <v>46199</v>
      </c>
      <c r="D2058" s="10">
        <v>26833</v>
      </c>
    </row>
    <row r="2059" spans="1:4">
      <c r="A2059" t="s">
        <v>9</v>
      </c>
      <c r="B2059" t="s">
        <v>65</v>
      </c>
      <c r="C2059" s="9">
        <v>46199</v>
      </c>
      <c r="D2059" s="10">
        <v>37985</v>
      </c>
    </row>
    <row r="2060" spans="1:4">
      <c r="A2060" t="s">
        <v>5</v>
      </c>
      <c r="B2060" t="s">
        <v>67</v>
      </c>
      <c r="C2060" s="9">
        <v>46199</v>
      </c>
      <c r="D2060" s="10">
        <v>47116</v>
      </c>
    </row>
    <row r="2061" spans="1:4">
      <c r="A2061" t="s">
        <v>5</v>
      </c>
      <c r="B2061" t="s">
        <v>68</v>
      </c>
      <c r="C2061" s="9">
        <v>46199</v>
      </c>
      <c r="D2061" s="10">
        <v>31909</v>
      </c>
    </row>
    <row r="2062" spans="1:4">
      <c r="A2062" t="s">
        <v>27</v>
      </c>
      <c r="B2062" t="s">
        <v>185</v>
      </c>
      <c r="C2062" s="9">
        <v>46200</v>
      </c>
      <c r="D2062" s="10">
        <v>12953</v>
      </c>
    </row>
    <row r="2063" spans="1:4">
      <c r="A2063" t="s">
        <v>27</v>
      </c>
      <c r="B2063" t="s">
        <v>247</v>
      </c>
      <c r="C2063" s="9">
        <v>46200</v>
      </c>
      <c r="D2063" s="10">
        <v>13222</v>
      </c>
    </row>
    <row r="2064" spans="1:4">
      <c r="A2064" t="s">
        <v>4</v>
      </c>
      <c r="B2064" t="s">
        <v>104</v>
      </c>
      <c r="C2064" s="9">
        <v>46200</v>
      </c>
      <c r="D2064" s="10">
        <v>23057</v>
      </c>
    </row>
    <row r="2065" spans="1:4">
      <c r="A2065" t="s">
        <v>4</v>
      </c>
      <c r="B2065" t="s">
        <v>213</v>
      </c>
      <c r="C2065" s="9">
        <v>46200</v>
      </c>
      <c r="D2065" s="10">
        <v>45123</v>
      </c>
    </row>
    <row r="2066" spans="1:4">
      <c r="A2066" t="s">
        <v>4</v>
      </c>
      <c r="B2066" t="s">
        <v>225</v>
      </c>
      <c r="C2066" s="9">
        <v>46200</v>
      </c>
      <c r="D2066" s="10">
        <v>19578</v>
      </c>
    </row>
    <row r="2067" spans="1:4">
      <c r="A2067" t="s">
        <v>28</v>
      </c>
      <c r="B2067" t="s">
        <v>127</v>
      </c>
      <c r="C2067" s="9">
        <v>46200</v>
      </c>
      <c r="D2067" s="10">
        <v>15061</v>
      </c>
    </row>
    <row r="2068" spans="1:4">
      <c r="A2068" t="s">
        <v>36</v>
      </c>
      <c r="B2068" t="s">
        <v>287</v>
      </c>
      <c r="C2068" s="9">
        <v>46200</v>
      </c>
      <c r="D2068" s="10">
        <v>11309</v>
      </c>
    </row>
    <row r="2069" spans="1:4">
      <c r="A2069" t="s">
        <v>8</v>
      </c>
      <c r="B2069" t="s">
        <v>74</v>
      </c>
      <c r="C2069" s="9">
        <v>46200</v>
      </c>
      <c r="D2069" s="10">
        <v>19537</v>
      </c>
    </row>
    <row r="2070" spans="1:4">
      <c r="A2070" t="s">
        <v>34</v>
      </c>
      <c r="B2070" t="s">
        <v>161</v>
      </c>
      <c r="C2070" s="9">
        <v>46200</v>
      </c>
      <c r="D2070" s="10">
        <v>12077</v>
      </c>
    </row>
    <row r="2071" spans="1:4">
      <c r="A2071" t="s">
        <v>6</v>
      </c>
      <c r="B2071" t="s">
        <v>270</v>
      </c>
      <c r="C2071" s="9">
        <v>46200</v>
      </c>
      <c r="D2071" s="10">
        <v>8008</v>
      </c>
    </row>
    <row r="2072" spans="1:4">
      <c r="A2072" t="s">
        <v>7</v>
      </c>
      <c r="B2072" t="s">
        <v>130</v>
      </c>
      <c r="C2072" s="9">
        <v>46200</v>
      </c>
      <c r="D2072" s="10">
        <v>8419</v>
      </c>
    </row>
    <row r="2073" spans="1:4">
      <c r="A2073" t="s">
        <v>7</v>
      </c>
      <c r="B2073" t="s">
        <v>163</v>
      </c>
      <c r="C2073" s="9">
        <v>46200</v>
      </c>
      <c r="D2073" s="10">
        <v>22790</v>
      </c>
    </row>
    <row r="2074" spans="1:4">
      <c r="A2074" t="s">
        <v>9</v>
      </c>
      <c r="B2074" t="s">
        <v>63</v>
      </c>
      <c r="C2074" s="9">
        <v>46200</v>
      </c>
      <c r="D2074" s="10">
        <v>33295</v>
      </c>
    </row>
    <row r="2075" spans="1:4">
      <c r="A2075" t="s">
        <v>9</v>
      </c>
      <c r="B2075" t="s">
        <v>291</v>
      </c>
      <c r="C2075" s="9">
        <v>46200</v>
      </c>
      <c r="D2075" s="10">
        <v>25978</v>
      </c>
    </row>
    <row r="2076" spans="1:4">
      <c r="A2076" t="s">
        <v>9</v>
      </c>
      <c r="B2076" t="s">
        <v>191</v>
      </c>
      <c r="C2076" s="9">
        <v>46200</v>
      </c>
      <c r="D2076" s="10">
        <v>32183</v>
      </c>
    </row>
    <row r="2077" spans="1:4">
      <c r="A2077" t="s">
        <v>5</v>
      </c>
      <c r="B2077" t="s">
        <v>67</v>
      </c>
      <c r="C2077" s="9">
        <v>46200</v>
      </c>
      <c r="D2077" s="10">
        <v>43371</v>
      </c>
    </row>
    <row r="2078" spans="1:4">
      <c r="A2078" t="s">
        <v>5</v>
      </c>
      <c r="B2078" t="s">
        <v>135</v>
      </c>
      <c r="C2078" s="9">
        <v>46200</v>
      </c>
      <c r="D2078" s="10">
        <v>41230</v>
      </c>
    </row>
    <row r="2079" spans="1:4">
      <c r="A2079" t="s">
        <v>5</v>
      </c>
      <c r="B2079" t="s">
        <v>136</v>
      </c>
      <c r="C2079" s="9">
        <v>46200</v>
      </c>
      <c r="D2079" s="10">
        <v>39903</v>
      </c>
    </row>
    <row r="2080" spans="1:4">
      <c r="A2080" t="s">
        <v>5</v>
      </c>
      <c r="B2080" t="s">
        <v>109</v>
      </c>
      <c r="C2080" s="9">
        <v>46200</v>
      </c>
      <c r="D2080" s="10">
        <v>52459</v>
      </c>
    </row>
    <row r="2081" spans="1:4">
      <c r="A2081" t="s">
        <v>4</v>
      </c>
      <c r="B2081" t="s">
        <v>214</v>
      </c>
      <c r="C2081" s="9">
        <v>46201</v>
      </c>
      <c r="D2081" s="10">
        <v>9165</v>
      </c>
    </row>
    <row r="2082" spans="1:4">
      <c r="A2082" t="s">
        <v>4</v>
      </c>
      <c r="B2082" t="s">
        <v>193</v>
      </c>
      <c r="C2082" s="9">
        <v>46201</v>
      </c>
      <c r="D2082" s="10">
        <v>7314</v>
      </c>
    </row>
    <row r="2083" spans="1:4">
      <c r="A2083" t="s">
        <v>28</v>
      </c>
      <c r="B2083" t="s">
        <v>148</v>
      </c>
      <c r="C2083" s="9">
        <v>46201</v>
      </c>
      <c r="D2083" s="10">
        <v>5200</v>
      </c>
    </row>
    <row r="2084" spans="1:4">
      <c r="A2084" t="s">
        <v>26</v>
      </c>
      <c r="B2084" t="s">
        <v>217</v>
      </c>
      <c r="C2084" s="9">
        <v>46201</v>
      </c>
      <c r="D2084" s="10">
        <v>13630</v>
      </c>
    </row>
    <row r="2085" spans="1:4">
      <c r="A2085" t="s">
        <v>30</v>
      </c>
      <c r="B2085" t="s">
        <v>138</v>
      </c>
      <c r="C2085" s="9">
        <v>46201</v>
      </c>
      <c r="D2085" s="10">
        <v>11683</v>
      </c>
    </row>
    <row r="2086" spans="1:4">
      <c r="A2086" t="s">
        <v>6</v>
      </c>
      <c r="B2086" t="s">
        <v>249</v>
      </c>
      <c r="C2086" s="9">
        <v>46201</v>
      </c>
      <c r="D2086" s="10">
        <v>13759</v>
      </c>
    </row>
    <row r="2087" spans="1:4">
      <c r="A2087" t="s">
        <v>9</v>
      </c>
      <c r="B2087" t="s">
        <v>206</v>
      </c>
      <c r="C2087" s="9">
        <v>46201</v>
      </c>
      <c r="D2087" s="10">
        <v>38541</v>
      </c>
    </row>
    <row r="2088" spans="1:4">
      <c r="A2088" t="s">
        <v>5</v>
      </c>
      <c r="B2088" t="s">
        <v>152</v>
      </c>
      <c r="C2088" s="9">
        <v>46201</v>
      </c>
      <c r="D2088" s="10">
        <v>37485</v>
      </c>
    </row>
    <row r="2089" spans="1:4">
      <c r="A2089" t="s">
        <v>5</v>
      </c>
      <c r="B2089" t="s">
        <v>284</v>
      </c>
      <c r="C2089" s="9">
        <v>46201</v>
      </c>
      <c r="D2089" s="10">
        <v>34717</v>
      </c>
    </row>
    <row r="2090" spans="1:4">
      <c r="A2090" t="s">
        <v>5</v>
      </c>
      <c r="B2090" t="s">
        <v>176</v>
      </c>
      <c r="C2090" s="9">
        <v>46201</v>
      </c>
      <c r="D2090" s="10">
        <v>36655</v>
      </c>
    </row>
    <row r="2091" spans="1:4">
      <c r="A2091" t="s">
        <v>5</v>
      </c>
      <c r="B2091" t="s">
        <v>117</v>
      </c>
      <c r="C2091" s="9">
        <v>46201</v>
      </c>
      <c r="D2091" s="10">
        <v>51329</v>
      </c>
    </row>
    <row r="2092" spans="1:4">
      <c r="A2092" t="s">
        <v>4</v>
      </c>
      <c r="B2092" t="s">
        <v>69</v>
      </c>
      <c r="C2092" s="9">
        <v>46202</v>
      </c>
      <c r="D2092" s="10">
        <v>39436</v>
      </c>
    </row>
    <row r="2093" spans="1:4">
      <c r="A2093" t="s">
        <v>31</v>
      </c>
      <c r="B2093" t="s">
        <v>286</v>
      </c>
      <c r="C2093" s="9">
        <v>46202</v>
      </c>
      <c r="D2093" s="10">
        <v>11932</v>
      </c>
    </row>
    <row r="2094" spans="1:4">
      <c r="A2094" t="s">
        <v>25</v>
      </c>
      <c r="B2094" t="s">
        <v>180</v>
      </c>
      <c r="C2094" s="9">
        <v>46202</v>
      </c>
      <c r="D2094" s="10">
        <v>14999</v>
      </c>
    </row>
    <row r="2095" spans="1:4">
      <c r="A2095" t="s">
        <v>25</v>
      </c>
      <c r="B2095" t="s">
        <v>273</v>
      </c>
      <c r="C2095" s="9">
        <v>46202</v>
      </c>
      <c r="D2095" s="10">
        <v>14052</v>
      </c>
    </row>
    <row r="2096" spans="1:4">
      <c r="A2096" t="s">
        <v>6</v>
      </c>
      <c r="B2096" t="s">
        <v>239</v>
      </c>
      <c r="C2096" s="9">
        <v>46202</v>
      </c>
      <c r="D2096" s="10">
        <v>7314</v>
      </c>
    </row>
    <row r="2097" spans="1:4">
      <c r="A2097" t="s">
        <v>6</v>
      </c>
      <c r="B2097" t="s">
        <v>170</v>
      </c>
      <c r="C2097" s="9">
        <v>46202</v>
      </c>
      <c r="D2097" s="10">
        <v>19608</v>
      </c>
    </row>
    <row r="2098" spans="1:4">
      <c r="A2098" t="s">
        <v>7</v>
      </c>
      <c r="B2098" t="s">
        <v>128</v>
      </c>
      <c r="C2098" s="9">
        <v>46202</v>
      </c>
      <c r="D2098" s="10">
        <v>23423</v>
      </c>
    </row>
    <row r="2099" spans="1:4">
      <c r="A2099" t="s">
        <v>9</v>
      </c>
      <c r="B2099" t="s">
        <v>151</v>
      </c>
      <c r="C2099" s="9">
        <v>46202</v>
      </c>
      <c r="D2099" s="10">
        <v>38825</v>
      </c>
    </row>
    <row r="2100" spans="1:4">
      <c r="A2100" t="s">
        <v>9</v>
      </c>
      <c r="B2100" t="s">
        <v>151</v>
      </c>
      <c r="C2100" s="9">
        <v>46202</v>
      </c>
      <c r="D2100" s="10">
        <v>47653</v>
      </c>
    </row>
    <row r="2101" spans="1:4">
      <c r="A2101" t="s">
        <v>5</v>
      </c>
      <c r="B2101" t="s">
        <v>67</v>
      </c>
      <c r="C2101" s="9">
        <v>46202</v>
      </c>
      <c r="D2101" s="10">
        <v>50109</v>
      </c>
    </row>
    <row r="2102" spans="1:4">
      <c r="A2102" t="s">
        <v>5</v>
      </c>
      <c r="B2102" t="s">
        <v>67</v>
      </c>
      <c r="C2102" s="9">
        <v>46202</v>
      </c>
      <c r="D2102" s="10">
        <v>41159</v>
      </c>
    </row>
    <row r="2103" spans="1:4">
      <c r="A2103" t="s">
        <v>5</v>
      </c>
      <c r="B2103" t="s">
        <v>93</v>
      </c>
      <c r="C2103" s="9">
        <v>46202</v>
      </c>
      <c r="D2103" s="10">
        <v>31308</v>
      </c>
    </row>
    <row r="2104" spans="1:4">
      <c r="A2104" t="s">
        <v>5</v>
      </c>
      <c r="B2104" t="s">
        <v>94</v>
      </c>
      <c r="C2104" s="9">
        <v>46202</v>
      </c>
      <c r="D2104" s="10">
        <v>35023</v>
      </c>
    </row>
    <row r="2105" spans="1:4">
      <c r="A2105" t="s">
        <v>8</v>
      </c>
      <c r="B2105" t="s">
        <v>181</v>
      </c>
      <c r="C2105" s="9">
        <v>46203</v>
      </c>
      <c r="D2105" s="10">
        <v>12648</v>
      </c>
    </row>
    <row r="2106" spans="1:4">
      <c r="A2106" t="s">
        <v>6</v>
      </c>
      <c r="B2106" t="s">
        <v>256</v>
      </c>
      <c r="C2106" s="9">
        <v>46203</v>
      </c>
      <c r="D2106" s="10">
        <v>34332</v>
      </c>
    </row>
    <row r="2107" spans="1:4">
      <c r="A2107" t="s">
        <v>9</v>
      </c>
      <c r="B2107" t="s">
        <v>166</v>
      </c>
      <c r="C2107" s="9">
        <v>46203</v>
      </c>
      <c r="D2107" s="10">
        <v>32259</v>
      </c>
    </row>
    <row r="2108" spans="1:4">
      <c r="A2108" t="s">
        <v>5</v>
      </c>
      <c r="B2108" t="s">
        <v>134</v>
      </c>
      <c r="C2108" s="9">
        <v>46203</v>
      </c>
      <c r="D2108" s="10">
        <v>30374</v>
      </c>
    </row>
    <row r="2109" spans="1:4">
      <c r="A2109" t="s">
        <v>5</v>
      </c>
      <c r="B2109" t="s">
        <v>121</v>
      </c>
      <c r="C2109" s="9">
        <v>46203</v>
      </c>
      <c r="D2109" s="10">
        <v>43204</v>
      </c>
    </row>
    <row r="2110" spans="1:4">
      <c r="A2110" t="s">
        <v>5</v>
      </c>
      <c r="B2110" t="s">
        <v>230</v>
      </c>
      <c r="C2110" s="9">
        <v>46203</v>
      </c>
      <c r="D2110" s="10">
        <v>36651</v>
      </c>
    </row>
    <row r="2111" spans="1:4">
      <c r="A2111" t="s">
        <v>5</v>
      </c>
      <c r="B2111" t="s">
        <v>258</v>
      </c>
      <c r="C2111" s="9">
        <v>46203</v>
      </c>
      <c r="D2111" s="10">
        <v>51473</v>
      </c>
    </row>
    <row r="2112" spans="1:4">
      <c r="A2112" t="s">
        <v>5</v>
      </c>
      <c r="B2112" t="s">
        <v>69</v>
      </c>
      <c r="C2112" s="9">
        <v>46203</v>
      </c>
      <c r="D2112" s="10">
        <v>46710</v>
      </c>
    </row>
    <row r="2113" spans="1:4">
      <c r="A2113" t="s">
        <v>4</v>
      </c>
      <c r="B2113" t="s">
        <v>137</v>
      </c>
      <c r="C2113" s="9">
        <v>46204</v>
      </c>
      <c r="D2113" s="10">
        <v>30780</v>
      </c>
    </row>
    <row r="2114" spans="1:4">
      <c r="A2114" t="s">
        <v>4</v>
      </c>
      <c r="B2114" t="s">
        <v>199</v>
      </c>
      <c r="C2114" s="9">
        <v>46204</v>
      </c>
      <c r="D2114" s="10">
        <v>43997</v>
      </c>
    </row>
    <row r="2115" spans="1:4">
      <c r="A2115" t="s">
        <v>4</v>
      </c>
      <c r="B2115" t="s">
        <v>225</v>
      </c>
      <c r="C2115" s="9">
        <v>46204</v>
      </c>
      <c r="D2115" s="10">
        <v>11428</v>
      </c>
    </row>
    <row r="2116" spans="1:4">
      <c r="A2116" t="s">
        <v>9</v>
      </c>
      <c r="B2116" t="s">
        <v>64</v>
      </c>
      <c r="C2116" s="9">
        <v>46204</v>
      </c>
      <c r="D2116" s="10">
        <v>24518</v>
      </c>
    </row>
    <row r="2117" spans="1:4">
      <c r="A2117" t="s">
        <v>9</v>
      </c>
      <c r="B2117" t="s">
        <v>65</v>
      </c>
      <c r="C2117" s="9">
        <v>46204</v>
      </c>
      <c r="D2117" s="10">
        <v>37016</v>
      </c>
    </row>
    <row r="2118" spans="1:4">
      <c r="A2118" t="s">
        <v>9</v>
      </c>
      <c r="B2118" t="s">
        <v>65</v>
      </c>
      <c r="C2118" s="9">
        <v>46204</v>
      </c>
      <c r="D2118" s="10">
        <v>36936</v>
      </c>
    </row>
    <row r="2119" spans="1:4">
      <c r="A2119" t="s">
        <v>5</v>
      </c>
      <c r="B2119" t="s">
        <v>67</v>
      </c>
      <c r="C2119" s="9">
        <v>46204</v>
      </c>
      <c r="D2119" s="10">
        <v>55186</v>
      </c>
    </row>
    <row r="2120" spans="1:4">
      <c r="A2120" t="s">
        <v>5</v>
      </c>
      <c r="B2120" t="s">
        <v>118</v>
      </c>
      <c r="C2120" s="9">
        <v>46204</v>
      </c>
      <c r="D2120" s="10">
        <v>52108</v>
      </c>
    </row>
    <row r="2121" spans="1:4">
      <c r="A2121" t="s">
        <v>5</v>
      </c>
      <c r="B2121" t="s">
        <v>68</v>
      </c>
      <c r="C2121" s="9">
        <v>46204</v>
      </c>
      <c r="D2121" s="10">
        <v>46589</v>
      </c>
    </row>
    <row r="2122" spans="1:4">
      <c r="A2122" t="s">
        <v>4</v>
      </c>
      <c r="B2122" t="s">
        <v>250</v>
      </c>
      <c r="C2122" s="9">
        <v>46205</v>
      </c>
      <c r="D2122" s="10">
        <v>38770</v>
      </c>
    </row>
    <row r="2123" spans="1:4">
      <c r="A2123" t="s">
        <v>25</v>
      </c>
      <c r="B2123" t="s">
        <v>86</v>
      </c>
      <c r="C2123" s="9">
        <v>46205</v>
      </c>
      <c r="D2123" s="10">
        <v>15384</v>
      </c>
    </row>
    <row r="2124" spans="1:4">
      <c r="A2124" t="s">
        <v>26</v>
      </c>
      <c r="B2124" t="s">
        <v>248</v>
      </c>
      <c r="C2124" s="9">
        <v>46205</v>
      </c>
      <c r="D2124" s="10">
        <v>21682</v>
      </c>
    </row>
    <row r="2125" spans="1:4">
      <c r="A2125" t="s">
        <v>9</v>
      </c>
      <c r="B2125" t="s">
        <v>102</v>
      </c>
      <c r="C2125" s="9">
        <v>46205</v>
      </c>
      <c r="D2125" s="10">
        <v>32400</v>
      </c>
    </row>
    <row r="2126" spans="1:4">
      <c r="A2126" t="s">
        <v>9</v>
      </c>
      <c r="B2126" t="s">
        <v>291</v>
      </c>
      <c r="C2126" s="9">
        <v>46205</v>
      </c>
      <c r="D2126" s="10">
        <v>24125</v>
      </c>
    </row>
    <row r="2127" spans="1:4">
      <c r="A2127" t="s">
        <v>5</v>
      </c>
      <c r="B2127" t="s">
        <v>108</v>
      </c>
      <c r="C2127" s="9">
        <v>46205</v>
      </c>
      <c r="D2127" s="10">
        <v>35015</v>
      </c>
    </row>
    <row r="2128" spans="1:4">
      <c r="A2128" t="s">
        <v>5</v>
      </c>
      <c r="B2128" t="s">
        <v>122</v>
      </c>
      <c r="C2128" s="9">
        <v>46205</v>
      </c>
      <c r="D2128" s="10">
        <v>37195</v>
      </c>
    </row>
    <row r="2129" spans="1:4">
      <c r="A2129" t="s">
        <v>5</v>
      </c>
      <c r="B2129" t="s">
        <v>178</v>
      </c>
      <c r="C2129" s="9">
        <v>46205</v>
      </c>
      <c r="D2129" s="10">
        <v>44891</v>
      </c>
    </row>
    <row r="2130" spans="1:4">
      <c r="A2130" t="s">
        <v>4</v>
      </c>
      <c r="B2130" t="s">
        <v>104</v>
      </c>
      <c r="C2130" s="9">
        <v>46206</v>
      </c>
      <c r="D2130" s="10">
        <v>26385</v>
      </c>
    </row>
    <row r="2131" spans="1:4">
      <c r="A2131" t="s">
        <v>31</v>
      </c>
      <c r="B2131" t="s">
        <v>236</v>
      </c>
      <c r="C2131" s="9">
        <v>46206</v>
      </c>
      <c r="D2131" s="10">
        <v>7013</v>
      </c>
    </row>
    <row r="2132" spans="1:4">
      <c r="A2132" t="s">
        <v>25</v>
      </c>
      <c r="B2132" t="s">
        <v>180</v>
      </c>
      <c r="C2132" s="9">
        <v>46206</v>
      </c>
      <c r="D2132" s="10">
        <v>14598</v>
      </c>
    </row>
    <row r="2133" spans="1:4">
      <c r="A2133" t="s">
        <v>25</v>
      </c>
      <c r="B2133" t="s">
        <v>190</v>
      </c>
      <c r="C2133" s="9">
        <v>46206</v>
      </c>
      <c r="D2133" s="10">
        <v>15799</v>
      </c>
    </row>
    <row r="2134" spans="1:4">
      <c r="A2134" t="s">
        <v>8</v>
      </c>
      <c r="B2134" t="s">
        <v>112</v>
      </c>
      <c r="C2134" s="9">
        <v>46206</v>
      </c>
      <c r="D2134" s="10">
        <v>36439</v>
      </c>
    </row>
    <row r="2135" spans="1:4">
      <c r="A2135" t="s">
        <v>33</v>
      </c>
      <c r="B2135" t="s">
        <v>244</v>
      </c>
      <c r="C2135" s="9">
        <v>46206</v>
      </c>
      <c r="D2135" s="10">
        <v>11052</v>
      </c>
    </row>
    <row r="2136" spans="1:4">
      <c r="A2136" t="s">
        <v>7</v>
      </c>
      <c r="B2136" t="s">
        <v>162</v>
      </c>
      <c r="C2136" s="9">
        <v>46206</v>
      </c>
      <c r="D2136" s="10">
        <v>24787</v>
      </c>
    </row>
    <row r="2137" spans="1:4">
      <c r="A2137" t="s">
        <v>5</v>
      </c>
      <c r="B2137" t="s">
        <v>78</v>
      </c>
      <c r="C2137" s="9">
        <v>46206</v>
      </c>
      <c r="D2137" s="10">
        <v>36814</v>
      </c>
    </row>
    <row r="2138" spans="1:4">
      <c r="A2138" t="s">
        <v>5</v>
      </c>
      <c r="B2138" t="s">
        <v>230</v>
      </c>
      <c r="C2138" s="9">
        <v>46206</v>
      </c>
      <c r="D2138" s="10">
        <v>40247</v>
      </c>
    </row>
    <row r="2139" spans="1:4">
      <c r="A2139" t="s">
        <v>5</v>
      </c>
      <c r="B2139" t="s">
        <v>136</v>
      </c>
      <c r="C2139" s="9">
        <v>46206</v>
      </c>
      <c r="D2139" s="10">
        <v>41511</v>
      </c>
    </row>
    <row r="2140" spans="1:4">
      <c r="A2140" t="s">
        <v>5</v>
      </c>
      <c r="B2140" t="s">
        <v>198</v>
      </c>
      <c r="C2140" s="9">
        <v>46206</v>
      </c>
      <c r="D2140" s="10">
        <v>38961</v>
      </c>
    </row>
    <row r="2141" spans="1:4">
      <c r="A2141" t="s">
        <v>5</v>
      </c>
      <c r="B2141" t="s">
        <v>199</v>
      </c>
      <c r="C2141" s="9">
        <v>46206</v>
      </c>
      <c r="D2141" s="10">
        <v>37898</v>
      </c>
    </row>
    <row r="2142" spans="1:4">
      <c r="A2142" t="s">
        <v>5</v>
      </c>
      <c r="B2142" t="s">
        <v>68</v>
      </c>
      <c r="C2142" s="9">
        <v>46206</v>
      </c>
      <c r="D2142" s="10">
        <v>40273</v>
      </c>
    </row>
    <row r="2143" spans="1:4">
      <c r="A2143" t="s">
        <v>35</v>
      </c>
      <c r="B2143" t="s">
        <v>246</v>
      </c>
      <c r="C2143" s="9">
        <v>46207</v>
      </c>
      <c r="D2143" s="10">
        <v>8325</v>
      </c>
    </row>
    <row r="2144" spans="1:4">
      <c r="A2144" t="s">
        <v>31</v>
      </c>
      <c r="B2144" t="s">
        <v>286</v>
      </c>
      <c r="C2144" s="9">
        <v>46207</v>
      </c>
      <c r="D2144" s="10">
        <v>11518</v>
      </c>
    </row>
    <row r="2145" spans="1:4">
      <c r="A2145" t="s">
        <v>8</v>
      </c>
      <c r="B2145" t="s">
        <v>182</v>
      </c>
      <c r="C2145" s="9">
        <v>46207</v>
      </c>
      <c r="D2145" s="10">
        <v>9374</v>
      </c>
    </row>
    <row r="2146" spans="1:4">
      <c r="A2146" t="s">
        <v>8</v>
      </c>
      <c r="B2146" t="s">
        <v>160</v>
      </c>
      <c r="C2146" s="9">
        <v>46207</v>
      </c>
      <c r="D2146" s="10">
        <v>17873</v>
      </c>
    </row>
    <row r="2147" spans="1:4">
      <c r="A2147" t="s">
        <v>32</v>
      </c>
      <c r="B2147" t="s">
        <v>269</v>
      </c>
      <c r="C2147" s="9">
        <v>46207</v>
      </c>
      <c r="D2147" s="10">
        <v>11333</v>
      </c>
    </row>
    <row r="2148" spans="1:4">
      <c r="A2148" t="s">
        <v>7</v>
      </c>
      <c r="B2148" t="s">
        <v>292</v>
      </c>
      <c r="C2148" s="9">
        <v>46207</v>
      </c>
      <c r="D2148" s="10">
        <v>35420</v>
      </c>
    </row>
    <row r="2149" spans="1:4">
      <c r="A2149" t="s">
        <v>9</v>
      </c>
      <c r="B2149" t="s">
        <v>132</v>
      </c>
      <c r="C2149" s="9">
        <v>46207</v>
      </c>
      <c r="D2149" s="10">
        <v>29517</v>
      </c>
    </row>
    <row r="2150" spans="1:4">
      <c r="A2150" t="s">
        <v>9</v>
      </c>
      <c r="B2150" t="s">
        <v>197</v>
      </c>
      <c r="C2150" s="9">
        <v>46207</v>
      </c>
      <c r="D2150" s="10">
        <v>36790</v>
      </c>
    </row>
    <row r="2151" spans="1:4">
      <c r="A2151" t="s">
        <v>5</v>
      </c>
      <c r="B2151" t="s">
        <v>135</v>
      </c>
      <c r="C2151" s="9">
        <v>46207</v>
      </c>
      <c r="D2151" s="10">
        <v>34867</v>
      </c>
    </row>
    <row r="2152" spans="1:4">
      <c r="A2152" t="s">
        <v>5</v>
      </c>
      <c r="B2152" t="s">
        <v>108</v>
      </c>
      <c r="C2152" s="9">
        <v>46207</v>
      </c>
      <c r="D2152" s="10">
        <v>52935</v>
      </c>
    </row>
    <row r="2153" spans="1:4">
      <c r="A2153" t="s">
        <v>5</v>
      </c>
      <c r="B2153" t="s">
        <v>69</v>
      </c>
      <c r="C2153" s="9">
        <v>46207</v>
      </c>
      <c r="D2153" s="10">
        <v>36427</v>
      </c>
    </row>
    <row r="2154" spans="1:4">
      <c r="A2154" t="s">
        <v>5</v>
      </c>
      <c r="B2154" t="s">
        <v>210</v>
      </c>
      <c r="C2154" s="9">
        <v>46207</v>
      </c>
      <c r="D2154" s="10">
        <v>43187</v>
      </c>
    </row>
    <row r="2155" spans="1:4">
      <c r="A2155" t="s">
        <v>27</v>
      </c>
      <c r="B2155" t="s">
        <v>103</v>
      </c>
      <c r="C2155" s="9">
        <v>46208</v>
      </c>
      <c r="D2155" s="10">
        <v>10036</v>
      </c>
    </row>
    <row r="2156" spans="1:4">
      <c r="A2156" t="s">
        <v>9</v>
      </c>
      <c r="B2156" t="s">
        <v>205</v>
      </c>
      <c r="C2156" s="9">
        <v>46208</v>
      </c>
      <c r="D2156" s="10">
        <v>26777</v>
      </c>
    </row>
    <row r="2157" spans="1:4">
      <c r="A2157" t="s">
        <v>9</v>
      </c>
      <c r="B2157" t="s">
        <v>90</v>
      </c>
      <c r="C2157" s="9">
        <v>46208</v>
      </c>
      <c r="D2157" s="10">
        <v>30868</v>
      </c>
    </row>
    <row r="2158" spans="1:4">
      <c r="A2158" t="s">
        <v>5</v>
      </c>
      <c r="B2158" t="s">
        <v>116</v>
      </c>
      <c r="C2158" s="9">
        <v>46208</v>
      </c>
      <c r="D2158" s="10">
        <v>34785</v>
      </c>
    </row>
    <row r="2159" spans="1:4">
      <c r="A2159" t="s">
        <v>5</v>
      </c>
      <c r="B2159" t="s">
        <v>141</v>
      </c>
      <c r="C2159" s="9">
        <v>46208</v>
      </c>
      <c r="D2159" s="10">
        <v>39831</v>
      </c>
    </row>
    <row r="2160" spans="1:4">
      <c r="A2160" t="s">
        <v>5</v>
      </c>
      <c r="B2160" t="s">
        <v>93</v>
      </c>
      <c r="C2160" s="9">
        <v>46208</v>
      </c>
      <c r="D2160" s="10">
        <v>40350</v>
      </c>
    </row>
    <row r="2161" spans="1:4">
      <c r="A2161" t="s">
        <v>5</v>
      </c>
      <c r="B2161" t="s">
        <v>93</v>
      </c>
      <c r="C2161" s="9">
        <v>46208</v>
      </c>
      <c r="D2161" s="10">
        <v>47183</v>
      </c>
    </row>
    <row r="2162" spans="1:4">
      <c r="A2162" t="s">
        <v>5</v>
      </c>
      <c r="B2162" t="s">
        <v>142</v>
      </c>
      <c r="C2162" s="9">
        <v>46208</v>
      </c>
      <c r="D2162" s="10">
        <v>43104</v>
      </c>
    </row>
    <row r="2163" spans="1:4">
      <c r="A2163" t="s">
        <v>5</v>
      </c>
      <c r="B2163" t="s">
        <v>110</v>
      </c>
      <c r="C2163" s="9">
        <v>46208</v>
      </c>
      <c r="D2163" s="10">
        <v>35589</v>
      </c>
    </row>
    <row r="2164" spans="1:4">
      <c r="A2164" t="s">
        <v>38</v>
      </c>
      <c r="B2164" t="s">
        <v>58</v>
      </c>
      <c r="C2164" s="9">
        <v>46209</v>
      </c>
      <c r="D2164" s="10">
        <v>12338</v>
      </c>
    </row>
    <row r="2165" spans="1:4">
      <c r="A2165" t="s">
        <v>4</v>
      </c>
      <c r="B2165" t="s">
        <v>119</v>
      </c>
      <c r="C2165" s="9">
        <v>46209</v>
      </c>
      <c r="D2165" s="10">
        <v>30572</v>
      </c>
    </row>
    <row r="2166" spans="1:4">
      <c r="A2166" t="s">
        <v>7</v>
      </c>
      <c r="B2166" t="s">
        <v>221</v>
      </c>
      <c r="C2166" s="9">
        <v>46209</v>
      </c>
      <c r="D2166" s="10">
        <v>15438</v>
      </c>
    </row>
    <row r="2167" spans="1:4">
      <c r="A2167" t="s">
        <v>9</v>
      </c>
      <c r="B2167" t="s">
        <v>115</v>
      </c>
      <c r="C2167" s="9">
        <v>46209</v>
      </c>
      <c r="D2167" s="10">
        <v>29281</v>
      </c>
    </row>
    <row r="2168" spans="1:4">
      <c r="A2168" t="s">
        <v>9</v>
      </c>
      <c r="B2168" t="s">
        <v>76</v>
      </c>
      <c r="C2168" s="9">
        <v>46209</v>
      </c>
      <c r="D2168" s="10">
        <v>29269</v>
      </c>
    </row>
    <row r="2169" spans="1:4">
      <c r="A2169" t="s">
        <v>5</v>
      </c>
      <c r="B2169" t="s">
        <v>258</v>
      </c>
      <c r="C2169" s="9">
        <v>46209</v>
      </c>
      <c r="D2169" s="10">
        <v>47480</v>
      </c>
    </row>
    <row r="2170" spans="1:4">
      <c r="A2170" t="s">
        <v>27</v>
      </c>
      <c r="B2170" t="s">
        <v>212</v>
      </c>
      <c r="C2170" s="9">
        <v>46210</v>
      </c>
      <c r="D2170" s="10">
        <v>5200</v>
      </c>
    </row>
    <row r="2171" spans="1:4">
      <c r="A2171" t="s">
        <v>6</v>
      </c>
      <c r="B2171" t="s">
        <v>233</v>
      </c>
      <c r="C2171" s="9">
        <v>46210</v>
      </c>
      <c r="D2171" s="10">
        <v>20427</v>
      </c>
    </row>
    <row r="2172" spans="1:4">
      <c r="A2172" t="s">
        <v>9</v>
      </c>
      <c r="B2172" t="s">
        <v>222</v>
      </c>
      <c r="C2172" s="9">
        <v>46210</v>
      </c>
      <c r="D2172" s="10">
        <v>14798</v>
      </c>
    </row>
    <row r="2173" spans="1:4">
      <c r="A2173" t="s">
        <v>9</v>
      </c>
      <c r="B2173" t="s">
        <v>90</v>
      </c>
      <c r="C2173" s="9">
        <v>46210</v>
      </c>
      <c r="D2173" s="10">
        <v>32466</v>
      </c>
    </row>
    <row r="2174" spans="1:4">
      <c r="A2174" t="s">
        <v>9</v>
      </c>
      <c r="B2174" t="s">
        <v>81</v>
      </c>
      <c r="C2174" s="9">
        <v>46210</v>
      </c>
      <c r="D2174" s="10">
        <v>34337</v>
      </c>
    </row>
    <row r="2175" spans="1:4">
      <c r="A2175" t="s">
        <v>5</v>
      </c>
      <c r="B2175" t="s">
        <v>67</v>
      </c>
      <c r="C2175" s="9">
        <v>46210</v>
      </c>
      <c r="D2175" s="10">
        <v>52600</v>
      </c>
    </row>
    <row r="2176" spans="1:4">
      <c r="A2176" t="s">
        <v>5</v>
      </c>
      <c r="B2176" t="s">
        <v>141</v>
      </c>
      <c r="C2176" s="9">
        <v>46210</v>
      </c>
      <c r="D2176" s="10">
        <v>37691</v>
      </c>
    </row>
    <row r="2177" spans="1:4">
      <c r="A2177" t="s">
        <v>5</v>
      </c>
      <c r="B2177" t="s">
        <v>121</v>
      </c>
      <c r="C2177" s="9">
        <v>46210</v>
      </c>
      <c r="D2177" s="10">
        <v>47757</v>
      </c>
    </row>
    <row r="2178" spans="1:4">
      <c r="A2178" t="s">
        <v>5</v>
      </c>
      <c r="B2178" t="s">
        <v>143</v>
      </c>
      <c r="C2178" s="9">
        <v>46210</v>
      </c>
      <c r="D2178" s="10">
        <v>47659</v>
      </c>
    </row>
    <row r="2179" spans="1:4">
      <c r="A2179" t="s">
        <v>5</v>
      </c>
      <c r="B2179" t="s">
        <v>68</v>
      </c>
      <c r="C2179" s="9">
        <v>46210</v>
      </c>
      <c r="D2179" s="10">
        <v>36285</v>
      </c>
    </row>
    <row r="2180" spans="1:4">
      <c r="A2180" t="s">
        <v>5</v>
      </c>
      <c r="B2180" t="s">
        <v>178</v>
      </c>
      <c r="C2180" s="9">
        <v>46210</v>
      </c>
      <c r="D2180" s="10">
        <v>43285</v>
      </c>
    </row>
    <row r="2181" spans="1:4">
      <c r="A2181" t="s">
        <v>4</v>
      </c>
      <c r="B2181" t="s">
        <v>123</v>
      </c>
      <c r="C2181" s="9">
        <v>46211</v>
      </c>
      <c r="D2181" s="10">
        <v>10141</v>
      </c>
    </row>
    <row r="2182" spans="1:4">
      <c r="A2182" t="s">
        <v>4</v>
      </c>
      <c r="B2182" t="s">
        <v>194</v>
      </c>
      <c r="C2182" s="9">
        <v>46211</v>
      </c>
      <c r="D2182" s="10">
        <v>32049</v>
      </c>
    </row>
    <row r="2183" spans="1:4">
      <c r="A2183" t="s">
        <v>28</v>
      </c>
      <c r="B2183" t="s">
        <v>278</v>
      </c>
      <c r="C2183" s="9">
        <v>46211</v>
      </c>
      <c r="D2183" s="10">
        <v>20580</v>
      </c>
    </row>
    <row r="2184" spans="1:4">
      <c r="A2184" t="s">
        <v>8</v>
      </c>
      <c r="B2184" t="s">
        <v>120</v>
      </c>
      <c r="C2184" s="9">
        <v>46211</v>
      </c>
      <c r="D2184" s="10">
        <v>5200</v>
      </c>
    </row>
    <row r="2185" spans="1:4">
      <c r="A2185" t="s">
        <v>6</v>
      </c>
      <c r="B2185" t="s">
        <v>270</v>
      </c>
      <c r="C2185" s="9">
        <v>46211</v>
      </c>
      <c r="D2185" s="10">
        <v>7122</v>
      </c>
    </row>
    <row r="2186" spans="1:4">
      <c r="A2186" t="s">
        <v>6</v>
      </c>
      <c r="B2186" t="s">
        <v>170</v>
      </c>
      <c r="C2186" s="9">
        <v>46211</v>
      </c>
      <c r="D2186" s="10">
        <v>19341</v>
      </c>
    </row>
    <row r="2187" spans="1:4">
      <c r="A2187" t="s">
        <v>29</v>
      </c>
      <c r="B2187" t="s">
        <v>229</v>
      </c>
      <c r="C2187" s="9">
        <v>46211</v>
      </c>
      <c r="D2187" s="10">
        <v>5200</v>
      </c>
    </row>
    <row r="2188" spans="1:4">
      <c r="A2188" t="s">
        <v>7</v>
      </c>
      <c r="B2188" t="s">
        <v>264</v>
      </c>
      <c r="C2188" s="9">
        <v>46211</v>
      </c>
      <c r="D2188" s="10">
        <v>5326</v>
      </c>
    </row>
    <row r="2189" spans="1:4">
      <c r="A2189" t="s">
        <v>7</v>
      </c>
      <c r="B2189" t="s">
        <v>267</v>
      </c>
      <c r="C2189" s="9">
        <v>46211</v>
      </c>
      <c r="D2189" s="10">
        <v>27308</v>
      </c>
    </row>
    <row r="2190" spans="1:4">
      <c r="A2190" t="s">
        <v>7</v>
      </c>
      <c r="B2190" t="s">
        <v>131</v>
      </c>
      <c r="C2190" s="9">
        <v>46211</v>
      </c>
      <c r="D2190" s="10">
        <v>37503</v>
      </c>
    </row>
    <row r="2191" spans="1:4">
      <c r="A2191" t="s">
        <v>7</v>
      </c>
      <c r="B2191" t="s">
        <v>241</v>
      </c>
      <c r="C2191" s="9">
        <v>46211</v>
      </c>
      <c r="D2191" s="10">
        <v>26231</v>
      </c>
    </row>
    <row r="2192" spans="1:4">
      <c r="A2192" t="s">
        <v>9</v>
      </c>
      <c r="B2192" t="s">
        <v>133</v>
      </c>
      <c r="C2192" s="9">
        <v>46211</v>
      </c>
      <c r="D2192" s="10">
        <v>31944</v>
      </c>
    </row>
    <row r="2193" spans="1:4">
      <c r="A2193" t="s">
        <v>5</v>
      </c>
      <c r="B2193" t="s">
        <v>121</v>
      </c>
      <c r="C2193" s="9">
        <v>46211</v>
      </c>
      <c r="D2193" s="10">
        <v>46584</v>
      </c>
    </row>
    <row r="2194" spans="1:4">
      <c r="A2194" t="s">
        <v>5</v>
      </c>
      <c r="B2194" t="s">
        <v>143</v>
      </c>
      <c r="C2194" s="9">
        <v>46211</v>
      </c>
      <c r="D2194" s="10">
        <v>34477</v>
      </c>
    </row>
    <row r="2195" spans="1:4">
      <c r="A2195" t="s">
        <v>5</v>
      </c>
      <c r="B2195" t="s">
        <v>79</v>
      </c>
      <c r="C2195" s="9">
        <v>46211</v>
      </c>
      <c r="D2195" s="10">
        <v>38754</v>
      </c>
    </row>
    <row r="2196" spans="1:4">
      <c r="A2196" t="s">
        <v>5</v>
      </c>
      <c r="B2196" t="s">
        <v>210</v>
      </c>
      <c r="C2196" s="9">
        <v>46211</v>
      </c>
      <c r="D2196" s="10">
        <v>46401</v>
      </c>
    </row>
    <row r="2197" spans="1:4">
      <c r="A2197" t="s">
        <v>6</v>
      </c>
      <c r="B2197" t="s">
        <v>113</v>
      </c>
      <c r="C2197" s="9">
        <v>46212</v>
      </c>
      <c r="D2197" s="10">
        <v>18340</v>
      </c>
    </row>
    <row r="2198" spans="1:4">
      <c r="A2198" t="s">
        <v>6</v>
      </c>
      <c r="B2198" t="s">
        <v>257</v>
      </c>
      <c r="C2198" s="9">
        <v>46212</v>
      </c>
      <c r="D2198" s="10">
        <v>6095</v>
      </c>
    </row>
    <row r="2199" spans="1:4">
      <c r="A2199" t="s">
        <v>7</v>
      </c>
      <c r="B2199" t="s">
        <v>266</v>
      </c>
      <c r="C2199" s="9">
        <v>46212</v>
      </c>
      <c r="D2199" s="10">
        <v>7410</v>
      </c>
    </row>
    <row r="2200" spans="1:4">
      <c r="A2200" t="s">
        <v>7</v>
      </c>
      <c r="B2200" t="s">
        <v>245</v>
      </c>
      <c r="C2200" s="9">
        <v>46212</v>
      </c>
      <c r="D2200" s="10">
        <v>7634</v>
      </c>
    </row>
    <row r="2201" spans="1:4">
      <c r="A2201" t="s">
        <v>7</v>
      </c>
      <c r="B2201" t="s">
        <v>62</v>
      </c>
      <c r="C2201" s="9">
        <v>46212</v>
      </c>
      <c r="D2201" s="10">
        <v>15021</v>
      </c>
    </row>
    <row r="2202" spans="1:4">
      <c r="A2202" t="s">
        <v>9</v>
      </c>
      <c r="B2202" t="s">
        <v>174</v>
      </c>
      <c r="C2202" s="9">
        <v>46212</v>
      </c>
      <c r="D2202" s="10">
        <v>30304</v>
      </c>
    </row>
    <row r="2203" spans="1:4">
      <c r="A2203" t="s">
        <v>5</v>
      </c>
      <c r="B2203" t="s">
        <v>66</v>
      </c>
      <c r="C2203" s="9">
        <v>46212</v>
      </c>
      <c r="D2203" s="10">
        <v>44167</v>
      </c>
    </row>
    <row r="2204" spans="1:4">
      <c r="A2204" t="s">
        <v>5</v>
      </c>
      <c r="B2204" t="s">
        <v>141</v>
      </c>
      <c r="C2204" s="9">
        <v>46212</v>
      </c>
      <c r="D2204" s="10">
        <v>35987</v>
      </c>
    </row>
    <row r="2205" spans="1:4">
      <c r="A2205" t="s">
        <v>5</v>
      </c>
      <c r="B2205" t="s">
        <v>152</v>
      </c>
      <c r="C2205" s="9">
        <v>46212</v>
      </c>
      <c r="D2205" s="10">
        <v>41604</v>
      </c>
    </row>
    <row r="2206" spans="1:4">
      <c r="A2206" t="s">
        <v>5</v>
      </c>
      <c r="B2206" t="s">
        <v>187</v>
      </c>
      <c r="C2206" s="9">
        <v>46212</v>
      </c>
      <c r="D2206" s="10">
        <v>17749</v>
      </c>
    </row>
    <row r="2207" spans="1:4">
      <c r="A2207" t="s">
        <v>5</v>
      </c>
      <c r="B2207" t="s">
        <v>118</v>
      </c>
      <c r="C2207" s="9">
        <v>46212</v>
      </c>
      <c r="D2207" s="10">
        <v>37756</v>
      </c>
    </row>
    <row r="2208" spans="1:4">
      <c r="A2208" t="s">
        <v>5</v>
      </c>
      <c r="B2208" t="s">
        <v>177</v>
      </c>
      <c r="C2208" s="9">
        <v>46212</v>
      </c>
      <c r="D2208" s="10">
        <v>33921</v>
      </c>
    </row>
    <row r="2209" spans="1:4">
      <c r="A2209" t="s">
        <v>4</v>
      </c>
      <c r="B2209" t="s">
        <v>153</v>
      </c>
      <c r="C2209" s="9">
        <v>46213</v>
      </c>
      <c r="D2209" s="10">
        <v>39497</v>
      </c>
    </row>
    <row r="2210" spans="1:4">
      <c r="A2210" t="s">
        <v>4</v>
      </c>
      <c r="B2210" t="s">
        <v>124</v>
      </c>
      <c r="C2210" s="9">
        <v>46213</v>
      </c>
      <c r="D2210" s="10">
        <v>35772</v>
      </c>
    </row>
    <row r="2211" spans="1:4">
      <c r="A2211" t="s">
        <v>26</v>
      </c>
      <c r="B2211" t="s">
        <v>149</v>
      </c>
      <c r="C2211" s="9">
        <v>46213</v>
      </c>
      <c r="D2211" s="10">
        <v>14976</v>
      </c>
    </row>
    <row r="2212" spans="1:4">
      <c r="A2212" t="s">
        <v>32</v>
      </c>
      <c r="B2212" t="s">
        <v>88</v>
      </c>
      <c r="C2212" s="9">
        <v>46213</v>
      </c>
      <c r="D2212" s="10">
        <v>10977</v>
      </c>
    </row>
    <row r="2213" spans="1:4">
      <c r="A2213" t="s">
        <v>6</v>
      </c>
      <c r="B2213" t="s">
        <v>181</v>
      </c>
      <c r="C2213" s="9">
        <v>46213</v>
      </c>
      <c r="D2213" s="10">
        <v>6075</v>
      </c>
    </row>
    <row r="2214" spans="1:4">
      <c r="A2214" t="s">
        <v>6</v>
      </c>
      <c r="B2214" t="s">
        <v>159</v>
      </c>
      <c r="C2214" s="9">
        <v>46213</v>
      </c>
      <c r="D2214" s="10">
        <v>15085</v>
      </c>
    </row>
    <row r="2215" spans="1:4">
      <c r="A2215" t="s">
        <v>5</v>
      </c>
      <c r="B2215" t="s">
        <v>167</v>
      </c>
      <c r="C2215" s="9">
        <v>46213</v>
      </c>
      <c r="D2215" s="10">
        <v>31586</v>
      </c>
    </row>
    <row r="2216" spans="1:4">
      <c r="A2216" t="s">
        <v>5</v>
      </c>
      <c r="B2216" t="s">
        <v>177</v>
      </c>
      <c r="C2216" s="9">
        <v>46213</v>
      </c>
      <c r="D2216" s="10">
        <v>36806</v>
      </c>
    </row>
    <row r="2217" spans="1:4">
      <c r="A2217" t="s">
        <v>5</v>
      </c>
      <c r="B2217" t="s">
        <v>69</v>
      </c>
      <c r="C2217" s="9">
        <v>46213</v>
      </c>
      <c r="D2217" s="10">
        <v>33364</v>
      </c>
    </row>
    <row r="2218" spans="1:4">
      <c r="A2218" t="s">
        <v>5</v>
      </c>
      <c r="B2218" t="s">
        <v>79</v>
      </c>
      <c r="C2218" s="9">
        <v>46213</v>
      </c>
      <c r="D2218" s="10">
        <v>46379</v>
      </c>
    </row>
    <row r="2219" spans="1:4">
      <c r="A2219" t="s">
        <v>4</v>
      </c>
      <c r="B2219" t="s">
        <v>146</v>
      </c>
      <c r="C2219" s="9">
        <v>46214</v>
      </c>
      <c r="D2219" s="10">
        <v>20519</v>
      </c>
    </row>
    <row r="2220" spans="1:4">
      <c r="A2220" t="s">
        <v>7</v>
      </c>
      <c r="B2220" t="s">
        <v>219</v>
      </c>
      <c r="C2220" s="9">
        <v>46214</v>
      </c>
      <c r="D2220" s="10">
        <v>5402</v>
      </c>
    </row>
    <row r="2221" spans="1:4">
      <c r="A2221" t="s">
        <v>9</v>
      </c>
      <c r="B2221" t="s">
        <v>283</v>
      </c>
      <c r="C2221" s="9">
        <v>46214</v>
      </c>
      <c r="D2221" s="10">
        <v>49809</v>
      </c>
    </row>
    <row r="2222" spans="1:4">
      <c r="A2222" t="s">
        <v>5</v>
      </c>
      <c r="B2222" t="s">
        <v>272</v>
      </c>
      <c r="C2222" s="9">
        <v>46214</v>
      </c>
      <c r="D2222" s="10">
        <v>35564</v>
      </c>
    </row>
    <row r="2223" spans="1:4">
      <c r="A2223" t="s">
        <v>5</v>
      </c>
      <c r="B2223" t="s">
        <v>142</v>
      </c>
      <c r="C2223" s="9">
        <v>46214</v>
      </c>
      <c r="D2223" s="10">
        <v>31199</v>
      </c>
    </row>
    <row r="2224" spans="1:4">
      <c r="A2224" t="s">
        <v>5</v>
      </c>
      <c r="B2224" t="s">
        <v>176</v>
      </c>
      <c r="C2224" s="9">
        <v>46214</v>
      </c>
      <c r="D2224" s="10">
        <v>40418</v>
      </c>
    </row>
    <row r="2225" spans="1:4">
      <c r="A2225" t="s">
        <v>5</v>
      </c>
      <c r="B2225" t="s">
        <v>168</v>
      </c>
      <c r="C2225" s="9">
        <v>46214</v>
      </c>
      <c r="D2225" s="10">
        <v>43433</v>
      </c>
    </row>
    <row r="2226" spans="1:4">
      <c r="A2226" t="s">
        <v>27</v>
      </c>
      <c r="B2226" t="s">
        <v>85</v>
      </c>
      <c r="C2226" s="9">
        <v>46215</v>
      </c>
      <c r="D2226" s="10">
        <v>15102</v>
      </c>
    </row>
    <row r="2227" spans="1:4">
      <c r="A2227" t="s">
        <v>27</v>
      </c>
      <c r="B2227" t="s">
        <v>247</v>
      </c>
      <c r="C2227" s="9">
        <v>46215</v>
      </c>
      <c r="D2227" s="10">
        <v>12176</v>
      </c>
    </row>
    <row r="2228" spans="1:4">
      <c r="A2228" t="s">
        <v>4</v>
      </c>
      <c r="B2228" t="s">
        <v>142</v>
      </c>
      <c r="C2228" s="9">
        <v>46215</v>
      </c>
      <c r="D2228" s="10">
        <v>36960</v>
      </c>
    </row>
    <row r="2229" spans="1:4">
      <c r="A2229" t="s">
        <v>4</v>
      </c>
      <c r="B2229" t="s">
        <v>277</v>
      </c>
      <c r="C2229" s="9">
        <v>46215</v>
      </c>
      <c r="D2229" s="10">
        <v>29430</v>
      </c>
    </row>
    <row r="2230" spans="1:4">
      <c r="A2230" t="s">
        <v>9</v>
      </c>
      <c r="B2230" t="s">
        <v>268</v>
      </c>
      <c r="C2230" s="9">
        <v>46215</v>
      </c>
      <c r="D2230" s="10">
        <v>25307</v>
      </c>
    </row>
    <row r="2231" spans="1:4">
      <c r="A2231" t="s">
        <v>9</v>
      </c>
      <c r="B2231" t="s">
        <v>102</v>
      </c>
      <c r="C2231" s="9">
        <v>46215</v>
      </c>
      <c r="D2231" s="10">
        <v>32972</v>
      </c>
    </row>
    <row r="2232" spans="1:4">
      <c r="A2232" t="s">
        <v>9</v>
      </c>
      <c r="B2232" t="s">
        <v>166</v>
      </c>
      <c r="C2232" s="9">
        <v>46215</v>
      </c>
      <c r="D2232" s="10">
        <v>33925</v>
      </c>
    </row>
    <row r="2233" spans="1:4">
      <c r="A2233" t="s">
        <v>9</v>
      </c>
      <c r="B2233" t="s">
        <v>206</v>
      </c>
      <c r="C2233" s="9">
        <v>46215</v>
      </c>
      <c r="D2233" s="10">
        <v>41704</v>
      </c>
    </row>
    <row r="2234" spans="1:4">
      <c r="A2234" t="s">
        <v>5</v>
      </c>
      <c r="B2234" t="s">
        <v>95</v>
      </c>
      <c r="C2234" s="9">
        <v>46215</v>
      </c>
      <c r="D2234" s="10">
        <v>54322</v>
      </c>
    </row>
    <row r="2235" spans="1:4">
      <c r="A2235" t="s">
        <v>5</v>
      </c>
      <c r="B2235" t="s">
        <v>69</v>
      </c>
      <c r="C2235" s="9">
        <v>46215</v>
      </c>
      <c r="D2235" s="10">
        <v>46887</v>
      </c>
    </row>
    <row r="2236" spans="1:4">
      <c r="A2236" t="s">
        <v>5</v>
      </c>
      <c r="B2236" t="s">
        <v>69</v>
      </c>
      <c r="C2236" s="9">
        <v>46215</v>
      </c>
      <c r="D2236" s="10">
        <v>49016</v>
      </c>
    </row>
    <row r="2237" spans="1:4">
      <c r="A2237" t="s">
        <v>5</v>
      </c>
      <c r="B2237" t="s">
        <v>210</v>
      </c>
      <c r="C2237" s="9">
        <v>46215</v>
      </c>
      <c r="D2237" s="10">
        <v>45187</v>
      </c>
    </row>
    <row r="2238" spans="1:4">
      <c r="A2238" t="s">
        <v>27</v>
      </c>
      <c r="B2238" t="s">
        <v>200</v>
      </c>
      <c r="C2238" s="9">
        <v>46216</v>
      </c>
      <c r="D2238" s="10">
        <v>5267</v>
      </c>
    </row>
    <row r="2239" spans="1:4">
      <c r="A2239" t="s">
        <v>31</v>
      </c>
      <c r="B2239" t="s">
        <v>82</v>
      </c>
      <c r="C2239" s="9">
        <v>46216</v>
      </c>
      <c r="D2239" s="10">
        <v>8133</v>
      </c>
    </row>
    <row r="2240" spans="1:4">
      <c r="A2240" t="s">
        <v>28</v>
      </c>
      <c r="B2240" t="s">
        <v>215</v>
      </c>
      <c r="C2240" s="9">
        <v>46216</v>
      </c>
      <c r="D2240" s="10">
        <v>14660</v>
      </c>
    </row>
    <row r="2241" spans="1:4">
      <c r="A2241" t="s">
        <v>6</v>
      </c>
      <c r="B2241" t="s">
        <v>262</v>
      </c>
      <c r="C2241" s="9">
        <v>46216</v>
      </c>
      <c r="D2241" s="10">
        <v>13394</v>
      </c>
    </row>
    <row r="2242" spans="1:4">
      <c r="A2242" t="s">
        <v>6</v>
      </c>
      <c r="B2242" t="s">
        <v>172</v>
      </c>
      <c r="C2242" s="9">
        <v>46216</v>
      </c>
      <c r="D2242" s="10">
        <v>20429</v>
      </c>
    </row>
    <row r="2243" spans="1:4">
      <c r="A2243" t="s">
        <v>7</v>
      </c>
      <c r="B2243" t="s">
        <v>128</v>
      </c>
      <c r="C2243" s="9">
        <v>46216</v>
      </c>
      <c r="D2243" s="10">
        <v>25367</v>
      </c>
    </row>
    <row r="2244" spans="1:4">
      <c r="A2244" t="s">
        <v>9</v>
      </c>
      <c r="B2244" t="s">
        <v>115</v>
      </c>
      <c r="C2244" s="9">
        <v>46216</v>
      </c>
      <c r="D2244" s="10">
        <v>29417</v>
      </c>
    </row>
    <row r="2245" spans="1:4">
      <c r="A2245" t="s">
        <v>9</v>
      </c>
      <c r="B2245" t="s">
        <v>268</v>
      </c>
      <c r="C2245" s="9">
        <v>46216</v>
      </c>
      <c r="D2245" s="10">
        <v>31692</v>
      </c>
    </row>
    <row r="2246" spans="1:4">
      <c r="A2246" t="s">
        <v>9</v>
      </c>
      <c r="B2246" t="s">
        <v>293</v>
      </c>
      <c r="C2246" s="9">
        <v>46216</v>
      </c>
      <c r="D2246" s="10">
        <v>49278</v>
      </c>
    </row>
    <row r="2247" spans="1:4">
      <c r="A2247" t="s">
        <v>9</v>
      </c>
      <c r="B2247" t="s">
        <v>65</v>
      </c>
      <c r="C2247" s="9">
        <v>46216</v>
      </c>
      <c r="D2247" s="10">
        <v>27923</v>
      </c>
    </row>
    <row r="2248" spans="1:4">
      <c r="A2248" t="s">
        <v>5</v>
      </c>
      <c r="B2248" t="s">
        <v>116</v>
      </c>
      <c r="C2248" s="9">
        <v>46216</v>
      </c>
      <c r="D2248" s="10">
        <v>47421</v>
      </c>
    </row>
    <row r="2249" spans="1:4">
      <c r="A2249" t="s">
        <v>5</v>
      </c>
      <c r="B2249" t="s">
        <v>66</v>
      </c>
      <c r="C2249" s="9">
        <v>46216</v>
      </c>
      <c r="D2249" s="10">
        <v>29942</v>
      </c>
    </row>
    <row r="2250" spans="1:4">
      <c r="A2250" t="s">
        <v>5</v>
      </c>
      <c r="B2250" t="s">
        <v>284</v>
      </c>
      <c r="C2250" s="9">
        <v>46216</v>
      </c>
      <c r="D2250" s="10">
        <v>42118</v>
      </c>
    </row>
    <row r="2251" spans="1:4">
      <c r="A2251" t="s">
        <v>5</v>
      </c>
      <c r="B2251" t="s">
        <v>176</v>
      </c>
      <c r="C2251" s="9">
        <v>46216</v>
      </c>
      <c r="D2251" s="10">
        <v>37530</v>
      </c>
    </row>
    <row r="2252" spans="1:4">
      <c r="A2252" t="s">
        <v>5</v>
      </c>
      <c r="B2252" t="s">
        <v>117</v>
      </c>
      <c r="C2252" s="9">
        <v>46216</v>
      </c>
      <c r="D2252" s="10">
        <v>48425</v>
      </c>
    </row>
    <row r="2253" spans="1:4">
      <c r="A2253" t="s">
        <v>5</v>
      </c>
      <c r="B2253" t="s">
        <v>199</v>
      </c>
      <c r="C2253" s="9">
        <v>46216</v>
      </c>
      <c r="D2253" s="10">
        <v>42876</v>
      </c>
    </row>
    <row r="2254" spans="1:4">
      <c r="A2254" t="s">
        <v>5</v>
      </c>
      <c r="B2254" t="s">
        <v>118</v>
      </c>
      <c r="C2254" s="9">
        <v>46216</v>
      </c>
      <c r="D2254" s="10">
        <v>45259</v>
      </c>
    </row>
    <row r="2255" spans="1:4">
      <c r="A2255" t="s">
        <v>5</v>
      </c>
      <c r="B2255" t="s">
        <v>169</v>
      </c>
      <c r="C2255" s="9">
        <v>46216</v>
      </c>
      <c r="D2255" s="10">
        <v>47019</v>
      </c>
    </row>
    <row r="2256" spans="1:4">
      <c r="A2256" t="s">
        <v>25</v>
      </c>
      <c r="B2256" t="s">
        <v>242</v>
      </c>
      <c r="C2256" s="9">
        <v>46217</v>
      </c>
      <c r="D2256" s="10">
        <v>15113</v>
      </c>
    </row>
    <row r="2257" spans="1:4">
      <c r="A2257" t="s">
        <v>28</v>
      </c>
      <c r="B2257" t="s">
        <v>255</v>
      </c>
      <c r="C2257" s="9">
        <v>46217</v>
      </c>
      <c r="D2257" s="10">
        <v>13688</v>
      </c>
    </row>
    <row r="2258" spans="1:4">
      <c r="A2258" t="s">
        <v>28</v>
      </c>
      <c r="B2258" t="s">
        <v>148</v>
      </c>
      <c r="C2258" s="9">
        <v>46217</v>
      </c>
      <c r="D2258" s="10">
        <v>5200</v>
      </c>
    </row>
    <row r="2259" spans="1:4">
      <c r="A2259" t="s">
        <v>30</v>
      </c>
      <c r="B2259" t="s">
        <v>157</v>
      </c>
      <c r="C2259" s="9">
        <v>46217</v>
      </c>
      <c r="D2259" s="10">
        <v>12630</v>
      </c>
    </row>
    <row r="2260" spans="1:4">
      <c r="A2260" t="s">
        <v>32</v>
      </c>
      <c r="B2260" t="s">
        <v>288</v>
      </c>
      <c r="C2260" s="9">
        <v>46217</v>
      </c>
      <c r="D2260" s="10">
        <v>12394</v>
      </c>
    </row>
    <row r="2261" spans="1:4">
      <c r="A2261" t="s">
        <v>34</v>
      </c>
      <c r="B2261" t="s">
        <v>161</v>
      </c>
      <c r="C2261" s="9">
        <v>46217</v>
      </c>
      <c r="D2261" s="10">
        <v>11613</v>
      </c>
    </row>
    <row r="2262" spans="1:4">
      <c r="A2262" t="s">
        <v>7</v>
      </c>
      <c r="B2262" t="s">
        <v>150</v>
      </c>
      <c r="C2262" s="9">
        <v>46217</v>
      </c>
      <c r="D2262" s="10">
        <v>21589</v>
      </c>
    </row>
    <row r="2263" spans="1:4">
      <c r="A2263" t="s">
        <v>9</v>
      </c>
      <c r="B2263" t="s">
        <v>205</v>
      </c>
      <c r="C2263" s="9">
        <v>46217</v>
      </c>
      <c r="D2263" s="10">
        <v>35550</v>
      </c>
    </row>
    <row r="2264" spans="1:4">
      <c r="A2264" t="s">
        <v>5</v>
      </c>
      <c r="B2264" t="s">
        <v>134</v>
      </c>
      <c r="C2264" s="9">
        <v>46217</v>
      </c>
      <c r="D2264" s="10">
        <v>38858</v>
      </c>
    </row>
    <row r="2265" spans="1:4">
      <c r="A2265" t="s">
        <v>5</v>
      </c>
      <c r="B2265" t="s">
        <v>135</v>
      </c>
      <c r="C2265" s="9">
        <v>46217</v>
      </c>
      <c r="D2265" s="10">
        <v>41309</v>
      </c>
    </row>
    <row r="2266" spans="1:4">
      <c r="A2266" t="s">
        <v>5</v>
      </c>
      <c r="B2266" t="s">
        <v>169</v>
      </c>
      <c r="C2266" s="9">
        <v>46217</v>
      </c>
      <c r="D2266" s="10">
        <v>36491</v>
      </c>
    </row>
    <row r="2267" spans="1:4">
      <c r="A2267" t="s">
        <v>5</v>
      </c>
      <c r="B2267" t="s">
        <v>178</v>
      </c>
      <c r="C2267" s="9">
        <v>46217</v>
      </c>
      <c r="D2267" s="10">
        <v>48880</v>
      </c>
    </row>
    <row r="2268" spans="1:4">
      <c r="A2268" t="s">
        <v>4</v>
      </c>
      <c r="B2268" t="s">
        <v>145</v>
      </c>
      <c r="C2268" s="9">
        <v>46218</v>
      </c>
      <c r="D2268" s="10">
        <v>38703</v>
      </c>
    </row>
    <row r="2269" spans="1:4">
      <c r="A2269" t="s">
        <v>4</v>
      </c>
      <c r="B2269" t="s">
        <v>71</v>
      </c>
      <c r="C2269" s="9">
        <v>46218</v>
      </c>
      <c r="D2269" s="10">
        <v>58791</v>
      </c>
    </row>
    <row r="2270" spans="1:4">
      <c r="A2270" t="s">
        <v>31</v>
      </c>
      <c r="B2270" t="s">
        <v>202</v>
      </c>
      <c r="C2270" s="9">
        <v>46218</v>
      </c>
      <c r="D2270" s="10">
        <v>14877</v>
      </c>
    </row>
    <row r="2271" spans="1:4">
      <c r="A2271" t="s">
        <v>26</v>
      </c>
      <c r="B2271" t="s">
        <v>260</v>
      </c>
      <c r="C2271" s="9">
        <v>46218</v>
      </c>
      <c r="D2271" s="10">
        <v>13650</v>
      </c>
    </row>
    <row r="2272" spans="1:4">
      <c r="A2272" t="s">
        <v>29</v>
      </c>
      <c r="B2272" t="s">
        <v>196</v>
      </c>
      <c r="C2272" s="9">
        <v>46218</v>
      </c>
      <c r="D2272" s="10">
        <v>10798</v>
      </c>
    </row>
    <row r="2273" spans="1:4">
      <c r="A2273" t="s">
        <v>29</v>
      </c>
      <c r="B2273" t="s">
        <v>114</v>
      </c>
      <c r="C2273" s="9">
        <v>46218</v>
      </c>
      <c r="D2273" s="10">
        <v>5200</v>
      </c>
    </row>
    <row r="2274" spans="1:4">
      <c r="A2274" t="s">
        <v>7</v>
      </c>
      <c r="B2274" t="s">
        <v>163</v>
      </c>
      <c r="C2274" s="9">
        <v>46218</v>
      </c>
      <c r="D2274" s="10">
        <v>27600</v>
      </c>
    </row>
    <row r="2275" spans="1:4">
      <c r="A2275" t="s">
        <v>9</v>
      </c>
      <c r="B2275" t="s">
        <v>57</v>
      </c>
      <c r="C2275" s="9">
        <v>46218</v>
      </c>
      <c r="D2275" s="10">
        <v>31887</v>
      </c>
    </row>
    <row r="2276" spans="1:4">
      <c r="A2276" t="s">
        <v>9</v>
      </c>
      <c r="B2276" t="s">
        <v>75</v>
      </c>
      <c r="C2276" s="9">
        <v>46218</v>
      </c>
      <c r="D2276" s="10">
        <v>25358</v>
      </c>
    </row>
    <row r="2277" spans="1:4">
      <c r="A2277" t="s">
        <v>9</v>
      </c>
      <c r="B2277" t="s">
        <v>223</v>
      </c>
      <c r="C2277" s="9">
        <v>46218</v>
      </c>
      <c r="D2277" s="10">
        <v>13315</v>
      </c>
    </row>
    <row r="2278" spans="1:4">
      <c r="A2278" t="s">
        <v>5</v>
      </c>
      <c r="B2278" t="s">
        <v>93</v>
      </c>
      <c r="C2278" s="9">
        <v>46218</v>
      </c>
      <c r="D2278" s="10">
        <v>32794</v>
      </c>
    </row>
    <row r="2279" spans="1:4">
      <c r="A2279" t="s">
        <v>5</v>
      </c>
      <c r="B2279" t="s">
        <v>272</v>
      </c>
      <c r="C2279" s="9">
        <v>46218</v>
      </c>
      <c r="D2279" s="10">
        <v>45823</v>
      </c>
    </row>
    <row r="2280" spans="1:4">
      <c r="A2280" t="s">
        <v>5</v>
      </c>
      <c r="B2280" t="s">
        <v>142</v>
      </c>
      <c r="C2280" s="9">
        <v>46218</v>
      </c>
      <c r="D2280" s="10">
        <v>42150</v>
      </c>
    </row>
    <row r="2281" spans="1:4">
      <c r="A2281" t="s">
        <v>5</v>
      </c>
      <c r="B2281" t="s">
        <v>136</v>
      </c>
      <c r="C2281" s="9">
        <v>46218</v>
      </c>
      <c r="D2281" s="10">
        <v>32478</v>
      </c>
    </row>
    <row r="2282" spans="1:4">
      <c r="A2282" t="s">
        <v>27</v>
      </c>
      <c r="B2282" t="s">
        <v>238</v>
      </c>
      <c r="C2282" s="9">
        <v>46219</v>
      </c>
      <c r="D2282" s="10">
        <v>12404</v>
      </c>
    </row>
    <row r="2283" spans="1:4">
      <c r="A2283" t="s">
        <v>4</v>
      </c>
      <c r="B2283" t="s">
        <v>213</v>
      </c>
      <c r="C2283" s="9">
        <v>46219</v>
      </c>
      <c r="D2283" s="10">
        <v>39363</v>
      </c>
    </row>
    <row r="2284" spans="1:4">
      <c r="A2284" t="s">
        <v>4</v>
      </c>
      <c r="B2284" t="s">
        <v>186</v>
      </c>
      <c r="C2284" s="9">
        <v>46219</v>
      </c>
      <c r="D2284" s="10">
        <v>28020</v>
      </c>
    </row>
    <row r="2285" spans="1:4">
      <c r="A2285" t="s">
        <v>4</v>
      </c>
      <c r="B2285" t="s">
        <v>125</v>
      </c>
      <c r="C2285" s="9">
        <v>46219</v>
      </c>
      <c r="D2285" s="10">
        <v>35413</v>
      </c>
    </row>
    <row r="2286" spans="1:4">
      <c r="A2286" t="s">
        <v>25</v>
      </c>
      <c r="B2286" t="s">
        <v>251</v>
      </c>
      <c r="C2286" s="9">
        <v>46219</v>
      </c>
      <c r="D2286" s="10">
        <v>7338</v>
      </c>
    </row>
    <row r="2287" spans="1:4">
      <c r="A2287" t="s">
        <v>28</v>
      </c>
      <c r="B2287" t="s">
        <v>144</v>
      </c>
      <c r="C2287" s="9">
        <v>46219</v>
      </c>
      <c r="D2287" s="10">
        <v>17339</v>
      </c>
    </row>
    <row r="2288" spans="1:4">
      <c r="A2288" t="s">
        <v>6</v>
      </c>
      <c r="B2288" t="s">
        <v>104</v>
      </c>
      <c r="C2288" s="9">
        <v>46219</v>
      </c>
      <c r="D2288" s="10">
        <v>29013</v>
      </c>
    </row>
    <row r="2289" spans="1:4">
      <c r="A2289" t="s">
        <v>6</v>
      </c>
      <c r="B2289" t="s">
        <v>249</v>
      </c>
      <c r="C2289" s="9">
        <v>46219</v>
      </c>
      <c r="D2289" s="10">
        <v>18018</v>
      </c>
    </row>
    <row r="2290" spans="1:4">
      <c r="A2290" t="s">
        <v>29</v>
      </c>
      <c r="B2290" t="s">
        <v>263</v>
      </c>
      <c r="C2290" s="9">
        <v>46219</v>
      </c>
      <c r="D2290" s="10">
        <v>12719</v>
      </c>
    </row>
    <row r="2291" spans="1:4">
      <c r="A2291" t="s">
        <v>7</v>
      </c>
      <c r="B2291" t="s">
        <v>271</v>
      </c>
      <c r="C2291" s="9">
        <v>46219</v>
      </c>
      <c r="D2291" s="10">
        <v>26038</v>
      </c>
    </row>
    <row r="2292" spans="1:4">
      <c r="A2292" t="s">
        <v>5</v>
      </c>
      <c r="B2292" t="s">
        <v>211</v>
      </c>
      <c r="C2292" s="9">
        <v>46219</v>
      </c>
      <c r="D2292" s="10">
        <v>32279</v>
      </c>
    </row>
    <row r="2293" spans="1:4">
      <c r="A2293" t="s">
        <v>5</v>
      </c>
      <c r="B2293" t="s">
        <v>175</v>
      </c>
      <c r="C2293" s="9">
        <v>46219</v>
      </c>
      <c r="D2293" s="10">
        <v>63296</v>
      </c>
    </row>
    <row r="2294" spans="1:4">
      <c r="A2294" t="s">
        <v>5</v>
      </c>
      <c r="B2294" t="s">
        <v>198</v>
      </c>
      <c r="C2294" s="9">
        <v>46219</v>
      </c>
      <c r="D2294" s="10">
        <v>36164</v>
      </c>
    </row>
    <row r="2295" spans="1:4">
      <c r="A2295" t="s">
        <v>5</v>
      </c>
      <c r="B2295" t="s">
        <v>70</v>
      </c>
      <c r="C2295" s="9">
        <v>46219</v>
      </c>
      <c r="D2295" s="10">
        <v>41668</v>
      </c>
    </row>
    <row r="2296" spans="1:4">
      <c r="A2296" t="s">
        <v>4</v>
      </c>
      <c r="B2296" t="s">
        <v>188</v>
      </c>
      <c r="C2296" s="9">
        <v>46220</v>
      </c>
      <c r="D2296" s="10">
        <v>27252</v>
      </c>
    </row>
    <row r="2297" spans="1:4">
      <c r="A2297" t="s">
        <v>36</v>
      </c>
      <c r="B2297" t="s">
        <v>287</v>
      </c>
      <c r="C2297" s="9">
        <v>46220</v>
      </c>
      <c r="D2297" s="10">
        <v>11397</v>
      </c>
    </row>
    <row r="2298" spans="1:4">
      <c r="A2298" t="s">
        <v>26</v>
      </c>
      <c r="B2298" t="s">
        <v>73</v>
      </c>
      <c r="C2298" s="9">
        <v>46220</v>
      </c>
      <c r="D2298" s="10">
        <v>11507</v>
      </c>
    </row>
    <row r="2299" spans="1:4">
      <c r="A2299" t="s">
        <v>26</v>
      </c>
      <c r="B2299" t="s">
        <v>216</v>
      </c>
      <c r="C2299" s="9">
        <v>46220</v>
      </c>
      <c r="D2299" s="10">
        <v>14770</v>
      </c>
    </row>
    <row r="2300" spans="1:4">
      <c r="A2300" t="s">
        <v>6</v>
      </c>
      <c r="B2300" t="s">
        <v>280</v>
      </c>
      <c r="C2300" s="9">
        <v>46220</v>
      </c>
      <c r="D2300" s="10">
        <v>21845</v>
      </c>
    </row>
    <row r="2301" spans="1:4">
      <c r="A2301" t="s">
        <v>6</v>
      </c>
      <c r="B2301" t="s">
        <v>256</v>
      </c>
      <c r="C2301" s="9">
        <v>46220</v>
      </c>
      <c r="D2301" s="10">
        <v>8276</v>
      </c>
    </row>
    <row r="2302" spans="1:4">
      <c r="A2302" t="s">
        <v>7</v>
      </c>
      <c r="B2302" t="s">
        <v>173</v>
      </c>
      <c r="C2302" s="9">
        <v>46220</v>
      </c>
      <c r="D2302" s="10">
        <v>25976</v>
      </c>
    </row>
    <row r="2303" spans="1:4">
      <c r="A2303" t="s">
        <v>9</v>
      </c>
      <c r="B2303" t="s">
        <v>151</v>
      </c>
      <c r="C2303" s="9">
        <v>46220</v>
      </c>
      <c r="D2303" s="10">
        <v>28296</v>
      </c>
    </row>
    <row r="2304" spans="1:4">
      <c r="A2304" t="s">
        <v>9</v>
      </c>
      <c r="B2304" t="s">
        <v>186</v>
      </c>
      <c r="C2304" s="9">
        <v>46220</v>
      </c>
      <c r="D2304" s="10">
        <v>28005</v>
      </c>
    </row>
    <row r="2305" spans="1:4">
      <c r="A2305" t="s">
        <v>5</v>
      </c>
      <c r="B2305" t="s">
        <v>109</v>
      </c>
      <c r="C2305" s="9">
        <v>46220</v>
      </c>
      <c r="D2305" s="10">
        <v>49460</v>
      </c>
    </row>
    <row r="2306" spans="1:4">
      <c r="A2306" t="s">
        <v>5</v>
      </c>
      <c r="B2306" t="s">
        <v>109</v>
      </c>
      <c r="C2306" s="9">
        <v>46220</v>
      </c>
      <c r="D2306" s="10">
        <v>36644</v>
      </c>
    </row>
    <row r="2307" spans="1:4">
      <c r="A2307" t="s">
        <v>5</v>
      </c>
      <c r="B2307" t="s">
        <v>70</v>
      </c>
      <c r="C2307" s="9">
        <v>46220</v>
      </c>
      <c r="D2307" s="10">
        <v>35037</v>
      </c>
    </row>
    <row r="2308" spans="1:4">
      <c r="A2308" t="s">
        <v>4</v>
      </c>
      <c r="B2308" t="s">
        <v>207</v>
      </c>
      <c r="C2308" s="9">
        <v>46221</v>
      </c>
      <c r="D2308" s="10">
        <v>32934</v>
      </c>
    </row>
    <row r="2309" spans="1:4">
      <c r="A2309" t="s">
        <v>4</v>
      </c>
      <c r="B2309" t="s">
        <v>198</v>
      </c>
      <c r="C2309" s="9">
        <v>46221</v>
      </c>
      <c r="D2309" s="10">
        <v>42342</v>
      </c>
    </row>
    <row r="2310" spans="1:4">
      <c r="A2310" t="s">
        <v>26</v>
      </c>
      <c r="B2310" t="s">
        <v>209</v>
      </c>
      <c r="C2310" s="9">
        <v>46221</v>
      </c>
      <c r="D2310" s="10">
        <v>5200</v>
      </c>
    </row>
    <row r="2311" spans="1:4">
      <c r="A2311" t="s">
        <v>26</v>
      </c>
      <c r="B2311" t="s">
        <v>217</v>
      </c>
      <c r="C2311" s="9">
        <v>46221</v>
      </c>
      <c r="D2311" s="10">
        <v>17207</v>
      </c>
    </row>
    <row r="2312" spans="1:4">
      <c r="A2312" t="s">
        <v>8</v>
      </c>
      <c r="B2312" t="s">
        <v>158</v>
      </c>
      <c r="C2312" s="9">
        <v>46221</v>
      </c>
      <c r="D2312" s="10">
        <v>19738</v>
      </c>
    </row>
    <row r="2313" spans="1:4">
      <c r="A2313" t="s">
        <v>32</v>
      </c>
      <c r="B2313" t="s">
        <v>89</v>
      </c>
      <c r="C2313" s="9">
        <v>46221</v>
      </c>
      <c r="D2313" s="10">
        <v>15646</v>
      </c>
    </row>
    <row r="2314" spans="1:4">
      <c r="A2314" t="s">
        <v>6</v>
      </c>
      <c r="B2314" t="s">
        <v>274</v>
      </c>
      <c r="C2314" s="9">
        <v>46221</v>
      </c>
      <c r="D2314" s="10">
        <v>19275</v>
      </c>
    </row>
    <row r="2315" spans="1:4">
      <c r="A2315" t="s">
        <v>6</v>
      </c>
      <c r="B2315" t="s">
        <v>184</v>
      </c>
      <c r="C2315" s="9">
        <v>46221</v>
      </c>
      <c r="D2315" s="10">
        <v>19738</v>
      </c>
    </row>
    <row r="2316" spans="1:4">
      <c r="A2316" t="s">
        <v>6</v>
      </c>
      <c r="B2316" t="s">
        <v>218</v>
      </c>
      <c r="C2316" s="9">
        <v>46221</v>
      </c>
      <c r="D2316" s="10">
        <v>17780</v>
      </c>
    </row>
    <row r="2317" spans="1:4">
      <c r="A2317" t="s">
        <v>7</v>
      </c>
      <c r="B2317" t="s">
        <v>292</v>
      </c>
      <c r="C2317" s="9">
        <v>46221</v>
      </c>
      <c r="D2317" s="10">
        <v>32633</v>
      </c>
    </row>
    <row r="2318" spans="1:4">
      <c r="A2318" t="s">
        <v>9</v>
      </c>
      <c r="B2318" t="s">
        <v>197</v>
      </c>
      <c r="C2318" s="9">
        <v>46221</v>
      </c>
      <c r="D2318" s="10">
        <v>35534</v>
      </c>
    </row>
    <row r="2319" spans="1:4">
      <c r="A2319" t="s">
        <v>5</v>
      </c>
      <c r="B2319" t="s">
        <v>77</v>
      </c>
      <c r="C2319" s="9">
        <v>46221</v>
      </c>
      <c r="D2319" s="10">
        <v>31665</v>
      </c>
    </row>
    <row r="2320" spans="1:4">
      <c r="A2320" t="s">
        <v>5</v>
      </c>
      <c r="B2320" t="s">
        <v>276</v>
      </c>
      <c r="C2320" s="9">
        <v>46221</v>
      </c>
      <c r="D2320" s="10">
        <v>23092</v>
      </c>
    </row>
    <row r="2321" spans="1:4">
      <c r="A2321" t="s">
        <v>5</v>
      </c>
      <c r="B2321" t="s">
        <v>272</v>
      </c>
      <c r="C2321" s="9">
        <v>46221</v>
      </c>
      <c r="D2321" s="10">
        <v>44883</v>
      </c>
    </row>
    <row r="2322" spans="1:4">
      <c r="A2322" t="s">
        <v>5</v>
      </c>
      <c r="B2322" t="s">
        <v>230</v>
      </c>
      <c r="C2322" s="9">
        <v>46221</v>
      </c>
      <c r="D2322" s="10">
        <v>39963</v>
      </c>
    </row>
    <row r="2323" spans="1:4">
      <c r="A2323" t="s">
        <v>5</v>
      </c>
      <c r="B2323" t="s">
        <v>117</v>
      </c>
      <c r="C2323" s="9">
        <v>46221</v>
      </c>
      <c r="D2323" s="10">
        <v>37649</v>
      </c>
    </row>
    <row r="2324" spans="1:4">
      <c r="A2324" t="s">
        <v>5</v>
      </c>
      <c r="B2324" t="s">
        <v>109</v>
      </c>
      <c r="C2324" s="9">
        <v>46221</v>
      </c>
      <c r="D2324" s="10">
        <v>54413</v>
      </c>
    </row>
    <row r="2325" spans="1:4">
      <c r="A2325" t="s">
        <v>5</v>
      </c>
      <c r="B2325" t="s">
        <v>109</v>
      </c>
      <c r="C2325" s="9">
        <v>46221</v>
      </c>
      <c r="D2325" s="10">
        <v>58277</v>
      </c>
    </row>
    <row r="2326" spans="1:4">
      <c r="A2326" t="s">
        <v>5</v>
      </c>
      <c r="B2326" t="s">
        <v>122</v>
      </c>
      <c r="C2326" s="9">
        <v>46221</v>
      </c>
      <c r="D2326" s="10">
        <v>35874</v>
      </c>
    </row>
    <row r="2327" spans="1:4">
      <c r="A2327" t="s">
        <v>5</v>
      </c>
      <c r="B2327" t="s">
        <v>210</v>
      </c>
      <c r="C2327" s="9">
        <v>46221</v>
      </c>
      <c r="D2327" s="10">
        <v>34883</v>
      </c>
    </row>
    <row r="2328" spans="1:4">
      <c r="A2328" t="s">
        <v>4</v>
      </c>
      <c r="B2328" t="s">
        <v>285</v>
      </c>
      <c r="C2328" s="9">
        <v>46222</v>
      </c>
      <c r="D2328" s="10">
        <v>31379</v>
      </c>
    </row>
    <row r="2329" spans="1:4">
      <c r="A2329" t="s">
        <v>6</v>
      </c>
      <c r="B2329" t="s">
        <v>105</v>
      </c>
      <c r="C2329" s="9">
        <v>46222</v>
      </c>
      <c r="D2329" s="10">
        <v>5200</v>
      </c>
    </row>
    <row r="2330" spans="1:4">
      <c r="A2330" t="s">
        <v>29</v>
      </c>
      <c r="B2330" t="s">
        <v>281</v>
      </c>
      <c r="C2330" s="9">
        <v>46222</v>
      </c>
      <c r="D2330" s="10">
        <v>25329</v>
      </c>
    </row>
    <row r="2331" spans="1:4">
      <c r="A2331" t="s">
        <v>7</v>
      </c>
      <c r="B2331" t="s">
        <v>282</v>
      </c>
      <c r="C2331" s="9">
        <v>46222</v>
      </c>
      <c r="D2331" s="10">
        <v>24289</v>
      </c>
    </row>
    <row r="2332" spans="1:4">
      <c r="A2332" t="s">
        <v>7</v>
      </c>
      <c r="B2332" t="s">
        <v>265</v>
      </c>
      <c r="C2332" s="9">
        <v>46222</v>
      </c>
      <c r="D2332" s="10">
        <v>36530</v>
      </c>
    </row>
    <row r="2333" spans="1:4">
      <c r="A2333" t="s">
        <v>9</v>
      </c>
      <c r="B2333" t="s">
        <v>291</v>
      </c>
      <c r="C2333" s="9">
        <v>46222</v>
      </c>
      <c r="D2333" s="10">
        <v>26745</v>
      </c>
    </row>
    <row r="2334" spans="1:4">
      <c r="A2334" t="s">
        <v>9</v>
      </c>
      <c r="B2334" t="s">
        <v>191</v>
      </c>
      <c r="C2334" s="9">
        <v>46222</v>
      </c>
      <c r="D2334" s="10">
        <v>30675</v>
      </c>
    </row>
    <row r="2335" spans="1:4">
      <c r="A2335" t="s">
        <v>9</v>
      </c>
      <c r="B2335" t="s">
        <v>167</v>
      </c>
      <c r="C2335" s="9">
        <v>46222</v>
      </c>
      <c r="D2335" s="10">
        <v>36098</v>
      </c>
    </row>
    <row r="2336" spans="1:4">
      <c r="A2336" t="s">
        <v>5</v>
      </c>
      <c r="B2336" t="s">
        <v>116</v>
      </c>
      <c r="C2336" s="9">
        <v>46222</v>
      </c>
      <c r="D2336" s="10">
        <v>39062</v>
      </c>
    </row>
    <row r="2337" spans="1:4">
      <c r="A2337" t="s">
        <v>5</v>
      </c>
      <c r="B2337" t="s">
        <v>272</v>
      </c>
      <c r="C2337" s="9">
        <v>46222</v>
      </c>
      <c r="D2337" s="10">
        <v>43997</v>
      </c>
    </row>
    <row r="2338" spans="1:4">
      <c r="A2338" t="s">
        <v>5</v>
      </c>
      <c r="B2338" t="s">
        <v>142</v>
      </c>
      <c r="C2338" s="9">
        <v>46222</v>
      </c>
      <c r="D2338" s="10">
        <v>30748</v>
      </c>
    </row>
    <row r="2339" spans="1:4">
      <c r="A2339" t="s">
        <v>5</v>
      </c>
      <c r="B2339" t="s">
        <v>136</v>
      </c>
      <c r="C2339" s="9">
        <v>46222</v>
      </c>
      <c r="D2339" s="10">
        <v>34109</v>
      </c>
    </row>
    <row r="2340" spans="1:4">
      <c r="A2340" t="s">
        <v>5</v>
      </c>
      <c r="B2340" t="s">
        <v>179</v>
      </c>
      <c r="C2340" s="9">
        <v>46222</v>
      </c>
      <c r="D2340" s="10">
        <v>37081</v>
      </c>
    </row>
    <row r="2341" spans="1:4">
      <c r="A2341" t="s">
        <v>9</v>
      </c>
      <c r="B2341" t="s">
        <v>259</v>
      </c>
      <c r="C2341" s="9">
        <v>46223</v>
      </c>
      <c r="D2341" s="10">
        <v>30968</v>
      </c>
    </row>
    <row r="2342" spans="1:4">
      <c r="A2342" t="s">
        <v>9</v>
      </c>
      <c r="B2342" t="s">
        <v>106</v>
      </c>
      <c r="C2342" s="9">
        <v>46223</v>
      </c>
      <c r="D2342" s="10">
        <v>31421</v>
      </c>
    </row>
    <row r="2343" spans="1:4">
      <c r="A2343" t="s">
        <v>5</v>
      </c>
      <c r="B2343" t="s">
        <v>258</v>
      </c>
      <c r="C2343" s="9">
        <v>46223</v>
      </c>
      <c r="D2343" s="10">
        <v>36985</v>
      </c>
    </row>
    <row r="2344" spans="1:4">
      <c r="A2344" t="s">
        <v>4</v>
      </c>
      <c r="B2344" t="s">
        <v>239</v>
      </c>
      <c r="C2344" s="9">
        <v>46224</v>
      </c>
      <c r="D2344" s="10">
        <v>10413</v>
      </c>
    </row>
    <row r="2345" spans="1:4">
      <c r="A2345" t="s">
        <v>4</v>
      </c>
      <c r="B2345" t="s">
        <v>79</v>
      </c>
      <c r="C2345" s="9">
        <v>46224</v>
      </c>
      <c r="D2345" s="10">
        <v>39057</v>
      </c>
    </row>
    <row r="2346" spans="1:4">
      <c r="A2346" t="s">
        <v>25</v>
      </c>
      <c r="B2346" t="s">
        <v>273</v>
      </c>
      <c r="C2346" s="9">
        <v>46224</v>
      </c>
      <c r="D2346" s="10">
        <v>20660</v>
      </c>
    </row>
    <row r="2347" spans="1:4">
      <c r="A2347" t="s">
        <v>26</v>
      </c>
      <c r="B2347" t="s">
        <v>156</v>
      </c>
      <c r="C2347" s="9">
        <v>46224</v>
      </c>
      <c r="D2347" s="10">
        <v>15125</v>
      </c>
    </row>
    <row r="2348" spans="1:4">
      <c r="A2348" t="s">
        <v>29</v>
      </c>
      <c r="B2348" t="s">
        <v>254</v>
      </c>
      <c r="C2348" s="9">
        <v>46224</v>
      </c>
      <c r="D2348" s="10">
        <v>11641</v>
      </c>
    </row>
    <row r="2349" spans="1:4">
      <c r="A2349" t="s">
        <v>9</v>
      </c>
      <c r="B2349" t="s">
        <v>132</v>
      </c>
      <c r="C2349" s="9">
        <v>46224</v>
      </c>
      <c r="D2349" s="10">
        <v>27113</v>
      </c>
    </row>
    <row r="2350" spans="1:4">
      <c r="A2350" t="s">
        <v>9</v>
      </c>
      <c r="B2350" t="s">
        <v>179</v>
      </c>
      <c r="C2350" s="9">
        <v>46224</v>
      </c>
      <c r="D2350" s="10">
        <v>41273</v>
      </c>
    </row>
    <row r="2351" spans="1:4">
      <c r="A2351" t="s">
        <v>5</v>
      </c>
      <c r="B2351" t="s">
        <v>284</v>
      </c>
      <c r="C2351" s="9">
        <v>46224</v>
      </c>
      <c r="D2351" s="10">
        <v>39147</v>
      </c>
    </row>
    <row r="2352" spans="1:4">
      <c r="A2352" t="s">
        <v>5</v>
      </c>
      <c r="B2352" t="s">
        <v>78</v>
      </c>
      <c r="C2352" s="9">
        <v>46224</v>
      </c>
      <c r="D2352" s="10">
        <v>49304</v>
      </c>
    </row>
    <row r="2353" spans="1:4">
      <c r="A2353" t="s">
        <v>5</v>
      </c>
      <c r="B2353" t="s">
        <v>168</v>
      </c>
      <c r="C2353" s="9">
        <v>46224</v>
      </c>
      <c r="D2353" s="10">
        <v>38608</v>
      </c>
    </row>
    <row r="2354" spans="1:4">
      <c r="A2354" t="s">
        <v>5</v>
      </c>
      <c r="B2354" t="s">
        <v>110</v>
      </c>
      <c r="C2354" s="9">
        <v>46224</v>
      </c>
      <c r="D2354" s="10">
        <v>43421</v>
      </c>
    </row>
    <row r="2355" spans="1:4">
      <c r="A2355" t="s">
        <v>4</v>
      </c>
      <c r="B2355" t="s">
        <v>290</v>
      </c>
      <c r="C2355" s="9">
        <v>46225</v>
      </c>
      <c r="D2355" s="10">
        <v>32217</v>
      </c>
    </row>
    <row r="2356" spans="1:4">
      <c r="A2356" t="s">
        <v>25</v>
      </c>
      <c r="B2356" t="s">
        <v>126</v>
      </c>
      <c r="C2356" s="9">
        <v>46225</v>
      </c>
      <c r="D2356" s="10">
        <v>15412</v>
      </c>
    </row>
    <row r="2357" spans="1:4">
      <c r="A2357" t="s">
        <v>26</v>
      </c>
      <c r="B2357" t="s">
        <v>252</v>
      </c>
      <c r="C2357" s="9">
        <v>46225</v>
      </c>
      <c r="D2357" s="10">
        <v>13193</v>
      </c>
    </row>
    <row r="2358" spans="1:4">
      <c r="A2358" t="s">
        <v>29</v>
      </c>
      <c r="B2358" t="s">
        <v>195</v>
      </c>
      <c r="C2358" s="9">
        <v>46225</v>
      </c>
      <c r="D2358" s="10">
        <v>13164</v>
      </c>
    </row>
    <row r="2359" spans="1:4">
      <c r="A2359" t="s">
        <v>9</v>
      </c>
      <c r="B2359" t="s">
        <v>191</v>
      </c>
      <c r="C2359" s="9">
        <v>46225</v>
      </c>
      <c r="D2359" s="10">
        <v>38315</v>
      </c>
    </row>
    <row r="2360" spans="1:4">
      <c r="A2360" t="s">
        <v>9</v>
      </c>
      <c r="B2360" t="s">
        <v>133</v>
      </c>
      <c r="C2360" s="9">
        <v>46225</v>
      </c>
      <c r="D2360" s="10">
        <v>35907</v>
      </c>
    </row>
    <row r="2361" spans="1:4">
      <c r="A2361" t="s">
        <v>5</v>
      </c>
      <c r="B2361" t="s">
        <v>134</v>
      </c>
      <c r="C2361" s="9">
        <v>46225</v>
      </c>
      <c r="D2361" s="10">
        <v>43957</v>
      </c>
    </row>
    <row r="2362" spans="1:4">
      <c r="A2362" t="s">
        <v>5</v>
      </c>
      <c r="B2362" t="s">
        <v>116</v>
      </c>
      <c r="C2362" s="9">
        <v>46225</v>
      </c>
      <c r="D2362" s="10">
        <v>39620</v>
      </c>
    </row>
    <row r="2363" spans="1:4">
      <c r="A2363" t="s">
        <v>25</v>
      </c>
      <c r="B2363" t="s">
        <v>147</v>
      </c>
      <c r="C2363" s="9">
        <v>46226</v>
      </c>
      <c r="D2363" s="10">
        <v>11246</v>
      </c>
    </row>
    <row r="2364" spans="1:4">
      <c r="A2364" t="s">
        <v>6</v>
      </c>
      <c r="B2364" t="s">
        <v>228</v>
      </c>
      <c r="C2364" s="9">
        <v>46226</v>
      </c>
      <c r="D2364" s="10">
        <v>12358</v>
      </c>
    </row>
    <row r="2365" spans="1:4">
      <c r="A2365" t="s">
        <v>6</v>
      </c>
      <c r="B2365" t="s">
        <v>74</v>
      </c>
      <c r="C2365" s="9">
        <v>46226</v>
      </c>
      <c r="D2365" s="10">
        <v>20339</v>
      </c>
    </row>
    <row r="2366" spans="1:4">
      <c r="A2366" t="s">
        <v>9</v>
      </c>
      <c r="B2366" t="s">
        <v>92</v>
      </c>
      <c r="C2366" s="9">
        <v>46226</v>
      </c>
      <c r="D2366" s="10">
        <v>57296</v>
      </c>
    </row>
    <row r="2367" spans="1:4">
      <c r="A2367" t="s">
        <v>9</v>
      </c>
      <c r="B2367" t="s">
        <v>166</v>
      </c>
      <c r="C2367" s="9">
        <v>46226</v>
      </c>
      <c r="D2367" s="10">
        <v>28223</v>
      </c>
    </row>
    <row r="2368" spans="1:4">
      <c r="A2368" t="s">
        <v>5</v>
      </c>
      <c r="B2368" t="s">
        <v>107</v>
      </c>
      <c r="C2368" s="9">
        <v>46226</v>
      </c>
      <c r="D2368" s="10">
        <v>30437</v>
      </c>
    </row>
    <row r="2369" spans="1:4">
      <c r="A2369" t="s">
        <v>5</v>
      </c>
      <c r="B2369" t="s">
        <v>94</v>
      </c>
      <c r="C2369" s="9">
        <v>46226</v>
      </c>
      <c r="D2369" s="10">
        <v>40665</v>
      </c>
    </row>
    <row r="2370" spans="1:4">
      <c r="A2370" t="s">
        <v>5</v>
      </c>
      <c r="B2370" t="s">
        <v>121</v>
      </c>
      <c r="C2370" s="9">
        <v>46226</v>
      </c>
      <c r="D2370" s="10">
        <v>47207</v>
      </c>
    </row>
    <row r="2371" spans="1:4">
      <c r="A2371" t="s">
        <v>5</v>
      </c>
      <c r="B2371" t="s">
        <v>136</v>
      </c>
      <c r="C2371" s="9">
        <v>46226</v>
      </c>
      <c r="D2371" s="10">
        <v>43884</v>
      </c>
    </row>
    <row r="2372" spans="1:4">
      <c r="A2372" t="s">
        <v>5</v>
      </c>
      <c r="B2372" t="s">
        <v>122</v>
      </c>
      <c r="C2372" s="9">
        <v>46226</v>
      </c>
      <c r="D2372" s="10">
        <v>37269</v>
      </c>
    </row>
    <row r="2373" spans="1:4">
      <c r="A2373" t="s">
        <v>5</v>
      </c>
      <c r="B2373" t="s">
        <v>79</v>
      </c>
      <c r="C2373" s="9">
        <v>46226</v>
      </c>
      <c r="D2373" s="10">
        <v>35496</v>
      </c>
    </row>
    <row r="2374" spans="1:4">
      <c r="A2374" t="s">
        <v>31</v>
      </c>
      <c r="B2374" t="s">
        <v>155</v>
      </c>
      <c r="C2374" s="9">
        <v>46227</v>
      </c>
      <c r="D2374" s="10">
        <v>15288</v>
      </c>
    </row>
    <row r="2375" spans="1:4">
      <c r="A2375" t="s">
        <v>9</v>
      </c>
      <c r="B2375" t="s">
        <v>57</v>
      </c>
      <c r="C2375" s="9">
        <v>46227</v>
      </c>
      <c r="D2375" s="10">
        <v>48026</v>
      </c>
    </row>
    <row r="2376" spans="1:4">
      <c r="A2376" t="s">
        <v>9</v>
      </c>
      <c r="B2376" t="s">
        <v>75</v>
      </c>
      <c r="C2376" s="9">
        <v>46227</v>
      </c>
      <c r="D2376" s="10">
        <v>20402</v>
      </c>
    </row>
    <row r="2377" spans="1:4">
      <c r="A2377" t="s">
        <v>5</v>
      </c>
      <c r="B2377" t="s">
        <v>93</v>
      </c>
      <c r="C2377" s="9">
        <v>46227</v>
      </c>
      <c r="D2377" s="10">
        <v>32558</v>
      </c>
    </row>
    <row r="2378" spans="1:4">
      <c r="A2378" t="s">
        <v>5</v>
      </c>
      <c r="B2378" t="s">
        <v>78</v>
      </c>
      <c r="C2378" s="9">
        <v>46227</v>
      </c>
      <c r="D2378" s="10">
        <v>41452</v>
      </c>
    </row>
    <row r="2379" spans="1:4">
      <c r="A2379" t="s">
        <v>5</v>
      </c>
      <c r="B2379" t="s">
        <v>95</v>
      </c>
      <c r="C2379" s="9">
        <v>46227</v>
      </c>
      <c r="D2379" s="10">
        <v>36737</v>
      </c>
    </row>
    <row r="2380" spans="1:4">
      <c r="A2380" t="s">
        <v>5</v>
      </c>
      <c r="B2380" t="s">
        <v>68</v>
      </c>
      <c r="C2380" s="9">
        <v>46227</v>
      </c>
      <c r="D2380" s="10">
        <v>38451</v>
      </c>
    </row>
    <row r="2381" spans="1:4">
      <c r="A2381" t="s">
        <v>8</v>
      </c>
      <c r="B2381" t="s">
        <v>232</v>
      </c>
      <c r="C2381" s="9">
        <v>46228</v>
      </c>
      <c r="D2381" s="10">
        <v>18635</v>
      </c>
    </row>
    <row r="2382" spans="1:4">
      <c r="A2382" t="s">
        <v>33</v>
      </c>
      <c r="B2382" t="s">
        <v>99</v>
      </c>
      <c r="C2382" s="9">
        <v>46228</v>
      </c>
      <c r="D2382" s="10">
        <v>12057</v>
      </c>
    </row>
    <row r="2383" spans="1:4">
      <c r="A2383" t="s">
        <v>7</v>
      </c>
      <c r="B2383" t="s">
        <v>100</v>
      </c>
      <c r="C2383" s="9">
        <v>46228</v>
      </c>
      <c r="D2383" s="10">
        <v>17791</v>
      </c>
    </row>
    <row r="2384" spans="1:4">
      <c r="A2384" t="s">
        <v>7</v>
      </c>
      <c r="B2384" t="s">
        <v>100</v>
      </c>
      <c r="C2384" s="9">
        <v>46228</v>
      </c>
      <c r="D2384" s="10">
        <v>24595</v>
      </c>
    </row>
    <row r="2385" spans="1:4">
      <c r="A2385" t="s">
        <v>7</v>
      </c>
      <c r="B2385" t="s">
        <v>220</v>
      </c>
      <c r="C2385" s="9">
        <v>46228</v>
      </c>
      <c r="D2385" s="10">
        <v>27371</v>
      </c>
    </row>
    <row r="2386" spans="1:4">
      <c r="A2386" t="s">
        <v>37</v>
      </c>
      <c r="B2386" t="s">
        <v>164</v>
      </c>
      <c r="C2386" s="9">
        <v>46228</v>
      </c>
      <c r="D2386" s="10">
        <v>10715</v>
      </c>
    </row>
    <row r="2387" spans="1:4">
      <c r="A2387" t="s">
        <v>5</v>
      </c>
      <c r="B2387" t="s">
        <v>94</v>
      </c>
      <c r="C2387" s="9">
        <v>46228</v>
      </c>
      <c r="D2387" s="10">
        <v>32549</v>
      </c>
    </row>
    <row r="2388" spans="1:4">
      <c r="A2388" t="s">
        <v>5</v>
      </c>
      <c r="B2388" t="s">
        <v>117</v>
      </c>
      <c r="C2388" s="9">
        <v>46228</v>
      </c>
      <c r="D2388" s="10">
        <v>35149</v>
      </c>
    </row>
    <row r="2389" spans="1:4">
      <c r="A2389" t="s">
        <v>5</v>
      </c>
      <c r="B2389" t="s">
        <v>168</v>
      </c>
      <c r="C2389" s="9">
        <v>46228</v>
      </c>
      <c r="D2389" s="10">
        <v>36351</v>
      </c>
    </row>
    <row r="2390" spans="1:4">
      <c r="A2390" t="s">
        <v>5</v>
      </c>
      <c r="B2390" t="s">
        <v>179</v>
      </c>
      <c r="C2390" s="9">
        <v>46228</v>
      </c>
      <c r="D2390" s="10">
        <v>47149</v>
      </c>
    </row>
    <row r="2391" spans="1:4">
      <c r="A2391" t="s">
        <v>27</v>
      </c>
      <c r="B2391" t="s">
        <v>96</v>
      </c>
      <c r="C2391" s="9">
        <v>46229</v>
      </c>
      <c r="D2391" s="10">
        <v>8105</v>
      </c>
    </row>
    <row r="2392" spans="1:4">
      <c r="A2392" t="s">
        <v>25</v>
      </c>
      <c r="B2392" t="s">
        <v>201</v>
      </c>
      <c r="C2392" s="9">
        <v>46229</v>
      </c>
      <c r="D2392" s="10">
        <v>13671</v>
      </c>
    </row>
    <row r="2393" spans="1:4">
      <c r="A2393" t="s">
        <v>25</v>
      </c>
      <c r="B2393" t="s">
        <v>59</v>
      </c>
      <c r="C2393" s="9">
        <v>46229</v>
      </c>
      <c r="D2393" s="10">
        <v>12749</v>
      </c>
    </row>
    <row r="2394" spans="1:4">
      <c r="A2394" t="s">
        <v>25</v>
      </c>
      <c r="B2394" t="s">
        <v>171</v>
      </c>
      <c r="C2394" s="9">
        <v>46229</v>
      </c>
      <c r="D2394" s="10">
        <v>13557</v>
      </c>
    </row>
    <row r="2395" spans="1:4">
      <c r="A2395" t="s">
        <v>28</v>
      </c>
      <c r="B2395" t="s">
        <v>127</v>
      </c>
      <c r="C2395" s="9">
        <v>46229</v>
      </c>
      <c r="D2395" s="10">
        <v>10009</v>
      </c>
    </row>
    <row r="2396" spans="1:4">
      <c r="A2396" t="s">
        <v>30</v>
      </c>
      <c r="B2396" t="s">
        <v>60</v>
      </c>
      <c r="C2396" s="9">
        <v>46229</v>
      </c>
      <c r="D2396" s="10">
        <v>15303</v>
      </c>
    </row>
    <row r="2397" spans="1:4">
      <c r="A2397" t="s">
        <v>8</v>
      </c>
      <c r="B2397" t="s">
        <v>87</v>
      </c>
      <c r="C2397" s="9">
        <v>46229</v>
      </c>
      <c r="D2397" s="10">
        <v>27044</v>
      </c>
    </row>
    <row r="2398" spans="1:4">
      <c r="A2398" t="s">
        <v>8</v>
      </c>
      <c r="B2398" t="s">
        <v>227</v>
      </c>
      <c r="C2398" s="9">
        <v>46229</v>
      </c>
      <c r="D2398" s="10">
        <v>5200</v>
      </c>
    </row>
    <row r="2399" spans="1:4">
      <c r="A2399" t="s">
        <v>8</v>
      </c>
      <c r="B2399" t="s">
        <v>253</v>
      </c>
      <c r="C2399" s="9">
        <v>46229</v>
      </c>
      <c r="D2399" s="10">
        <v>18286</v>
      </c>
    </row>
    <row r="2400" spans="1:4">
      <c r="A2400" t="s">
        <v>34</v>
      </c>
      <c r="B2400" t="s">
        <v>140</v>
      </c>
      <c r="C2400" s="9">
        <v>46229</v>
      </c>
      <c r="D2400" s="10">
        <v>12340</v>
      </c>
    </row>
    <row r="2401" spans="1:4">
      <c r="A2401" t="s">
        <v>9</v>
      </c>
      <c r="B2401" t="s">
        <v>174</v>
      </c>
      <c r="C2401" s="9">
        <v>46229</v>
      </c>
      <c r="D2401" s="10">
        <v>31504</v>
      </c>
    </row>
    <row r="2402" spans="1:4">
      <c r="A2402" t="s">
        <v>9</v>
      </c>
      <c r="B2402" t="s">
        <v>176</v>
      </c>
      <c r="C2402" s="9">
        <v>46229</v>
      </c>
      <c r="D2402" s="10">
        <v>39968</v>
      </c>
    </row>
    <row r="2403" spans="1:4">
      <c r="A2403" t="s">
        <v>9</v>
      </c>
      <c r="B2403" t="s">
        <v>64</v>
      </c>
      <c r="C2403" s="9">
        <v>46229</v>
      </c>
      <c r="D2403" s="10">
        <v>25105</v>
      </c>
    </row>
    <row r="2404" spans="1:4">
      <c r="A2404" t="s">
        <v>9</v>
      </c>
      <c r="B2404" t="s">
        <v>191</v>
      </c>
      <c r="C2404" s="9">
        <v>46229</v>
      </c>
      <c r="D2404" s="10">
        <v>25174</v>
      </c>
    </row>
    <row r="2405" spans="1:4">
      <c r="A2405" t="s">
        <v>5</v>
      </c>
      <c r="B2405" t="s">
        <v>66</v>
      </c>
      <c r="C2405" s="9">
        <v>46229</v>
      </c>
      <c r="D2405" s="10">
        <v>28954</v>
      </c>
    </row>
    <row r="2406" spans="1:4">
      <c r="A2406" t="s">
        <v>5</v>
      </c>
      <c r="B2406" t="s">
        <v>141</v>
      </c>
      <c r="C2406" s="9">
        <v>46229</v>
      </c>
      <c r="D2406" s="10">
        <v>47292</v>
      </c>
    </row>
    <row r="2407" spans="1:4">
      <c r="A2407" t="s">
        <v>5</v>
      </c>
      <c r="B2407" t="s">
        <v>235</v>
      </c>
      <c r="C2407" s="9">
        <v>46229</v>
      </c>
      <c r="D2407" s="10">
        <v>28174</v>
      </c>
    </row>
    <row r="2408" spans="1:4">
      <c r="A2408" t="s">
        <v>35</v>
      </c>
      <c r="B2408" t="s">
        <v>80</v>
      </c>
      <c r="C2408" s="9">
        <v>46230</v>
      </c>
      <c r="D2408" s="10">
        <v>5279</v>
      </c>
    </row>
    <row r="2409" spans="1:4">
      <c r="A2409" t="s">
        <v>4</v>
      </c>
      <c r="B2409" t="s">
        <v>234</v>
      </c>
      <c r="C2409" s="9">
        <v>46230</v>
      </c>
      <c r="D2409" s="10">
        <v>17576</v>
      </c>
    </row>
    <row r="2410" spans="1:4">
      <c r="A2410" t="s">
        <v>4</v>
      </c>
      <c r="B2410" t="s">
        <v>193</v>
      </c>
      <c r="C2410" s="9">
        <v>46230</v>
      </c>
      <c r="D2410" s="10">
        <v>21920</v>
      </c>
    </row>
    <row r="2411" spans="1:4">
      <c r="A2411" t="s">
        <v>25</v>
      </c>
      <c r="B2411" t="s">
        <v>97</v>
      </c>
      <c r="C2411" s="9">
        <v>46230</v>
      </c>
      <c r="D2411" s="10">
        <v>14313</v>
      </c>
    </row>
    <row r="2412" spans="1:4">
      <c r="A2412" t="s">
        <v>6</v>
      </c>
      <c r="B2412" t="s">
        <v>243</v>
      </c>
      <c r="C2412" s="9">
        <v>46230</v>
      </c>
      <c r="D2412" s="10">
        <v>13268</v>
      </c>
    </row>
    <row r="2413" spans="1:4">
      <c r="A2413" t="s">
        <v>33</v>
      </c>
      <c r="B2413" t="s">
        <v>98</v>
      </c>
      <c r="C2413" s="9">
        <v>46230</v>
      </c>
      <c r="D2413" s="10">
        <v>6655</v>
      </c>
    </row>
    <row r="2414" spans="1:4">
      <c r="A2414" t="s">
        <v>7</v>
      </c>
      <c r="B2414" t="s">
        <v>61</v>
      </c>
      <c r="C2414" s="9">
        <v>46230</v>
      </c>
      <c r="D2414" s="10">
        <v>24941</v>
      </c>
    </row>
    <row r="2415" spans="1:4">
      <c r="A2415" t="s">
        <v>7</v>
      </c>
      <c r="B2415" t="s">
        <v>130</v>
      </c>
      <c r="C2415" s="9">
        <v>46230</v>
      </c>
      <c r="D2415" s="10">
        <v>5637</v>
      </c>
    </row>
    <row r="2416" spans="1:4">
      <c r="A2416" t="s">
        <v>9</v>
      </c>
      <c r="B2416" t="s">
        <v>177</v>
      </c>
      <c r="C2416" s="9">
        <v>46230</v>
      </c>
      <c r="D2416" s="10">
        <v>40609</v>
      </c>
    </row>
    <row r="2417" spans="1:4">
      <c r="A2417" t="s">
        <v>5</v>
      </c>
      <c r="B2417" t="s">
        <v>224</v>
      </c>
      <c r="C2417" s="9">
        <v>46230</v>
      </c>
      <c r="D2417" s="10">
        <v>46683</v>
      </c>
    </row>
    <row r="2418" spans="1:4">
      <c r="A2418" t="s">
        <v>5</v>
      </c>
      <c r="B2418" t="s">
        <v>135</v>
      </c>
      <c r="C2418" s="9">
        <v>46230</v>
      </c>
      <c r="D2418" s="10">
        <v>33354</v>
      </c>
    </row>
    <row r="2419" spans="1:4">
      <c r="A2419" t="s">
        <v>5</v>
      </c>
      <c r="B2419" t="s">
        <v>152</v>
      </c>
      <c r="C2419" s="9">
        <v>46230</v>
      </c>
      <c r="D2419" s="10">
        <v>34849</v>
      </c>
    </row>
    <row r="2420" spans="1:4">
      <c r="A2420" t="s">
        <v>5</v>
      </c>
      <c r="B2420" t="s">
        <v>272</v>
      </c>
      <c r="C2420" s="9">
        <v>46230</v>
      </c>
      <c r="D2420" s="10">
        <v>37847</v>
      </c>
    </row>
    <row r="2421" spans="1:4">
      <c r="A2421" t="s">
        <v>5</v>
      </c>
      <c r="B2421" t="s">
        <v>230</v>
      </c>
      <c r="C2421" s="9">
        <v>46230</v>
      </c>
      <c r="D2421" s="10">
        <v>41737</v>
      </c>
    </row>
    <row r="2422" spans="1:4">
      <c r="A2422" t="s">
        <v>5</v>
      </c>
      <c r="B2422" t="s">
        <v>117</v>
      </c>
      <c r="C2422" s="9">
        <v>46230</v>
      </c>
      <c r="D2422" s="10">
        <v>36323</v>
      </c>
    </row>
    <row r="2423" spans="1:4">
      <c r="A2423" t="s">
        <v>5</v>
      </c>
      <c r="B2423" t="s">
        <v>178</v>
      </c>
      <c r="C2423" s="9">
        <v>46230</v>
      </c>
      <c r="D2423" s="10">
        <v>40778</v>
      </c>
    </row>
    <row r="2424" spans="1:4">
      <c r="A2424" t="s">
        <v>27</v>
      </c>
      <c r="B2424" t="s">
        <v>185</v>
      </c>
      <c r="C2424" s="9">
        <v>46231</v>
      </c>
      <c r="D2424" s="10">
        <v>12944</v>
      </c>
    </row>
    <row r="2425" spans="1:4">
      <c r="A2425" t="s">
        <v>4</v>
      </c>
      <c r="B2425" t="s">
        <v>72</v>
      </c>
      <c r="C2425" s="9">
        <v>46231</v>
      </c>
      <c r="D2425" s="10">
        <v>29007</v>
      </c>
    </row>
    <row r="2426" spans="1:4">
      <c r="A2426" t="s">
        <v>4</v>
      </c>
      <c r="B2426" t="s">
        <v>154</v>
      </c>
      <c r="C2426" s="9">
        <v>46231</v>
      </c>
      <c r="D2426" s="10">
        <v>29943</v>
      </c>
    </row>
    <row r="2427" spans="1:4">
      <c r="A2427" t="s">
        <v>28</v>
      </c>
      <c r="B2427" t="s">
        <v>237</v>
      </c>
      <c r="C2427" s="9">
        <v>46231</v>
      </c>
      <c r="D2427" s="10">
        <v>10079</v>
      </c>
    </row>
    <row r="2428" spans="1:4">
      <c r="A2428" t="s">
        <v>26</v>
      </c>
      <c r="B2428" t="s">
        <v>84</v>
      </c>
      <c r="C2428" s="9">
        <v>46231</v>
      </c>
      <c r="D2428" s="10">
        <v>13422</v>
      </c>
    </row>
    <row r="2429" spans="1:4">
      <c r="A2429" t="s">
        <v>30</v>
      </c>
      <c r="B2429" t="s">
        <v>138</v>
      </c>
      <c r="C2429" s="9">
        <v>46231</v>
      </c>
      <c r="D2429" s="10">
        <v>11678</v>
      </c>
    </row>
    <row r="2430" spans="1:4">
      <c r="A2430" t="s">
        <v>8</v>
      </c>
      <c r="B2430" t="s">
        <v>139</v>
      </c>
      <c r="C2430" s="9">
        <v>46231</v>
      </c>
      <c r="D2430" s="10">
        <v>16455</v>
      </c>
    </row>
    <row r="2431" spans="1:4">
      <c r="A2431" t="s">
        <v>9</v>
      </c>
      <c r="B2431" t="s">
        <v>63</v>
      </c>
      <c r="C2431" s="9">
        <v>46231</v>
      </c>
      <c r="D2431" s="10">
        <v>47761</v>
      </c>
    </row>
    <row r="2432" spans="1:4">
      <c r="A2432" t="s">
        <v>5</v>
      </c>
      <c r="B2432" t="s">
        <v>95</v>
      </c>
      <c r="C2432" s="9">
        <v>46231</v>
      </c>
      <c r="D2432" s="10">
        <v>48277</v>
      </c>
    </row>
    <row r="2433" spans="1:4">
      <c r="A2433" t="s">
        <v>5</v>
      </c>
      <c r="B2433" t="s">
        <v>110</v>
      </c>
      <c r="C2433" s="9">
        <v>46231</v>
      </c>
      <c r="D2433" s="10">
        <v>42468</v>
      </c>
    </row>
    <row r="2434" spans="1:4">
      <c r="A2434" t="s">
        <v>4</v>
      </c>
      <c r="B2434" t="s">
        <v>111</v>
      </c>
      <c r="C2434" s="9">
        <v>46232</v>
      </c>
      <c r="D2434" s="10">
        <v>36070</v>
      </c>
    </row>
    <row r="2435" spans="1:4">
      <c r="A2435" t="s">
        <v>25</v>
      </c>
      <c r="B2435" t="s">
        <v>240</v>
      </c>
      <c r="C2435" s="9">
        <v>46232</v>
      </c>
      <c r="D2435" s="10">
        <v>5362</v>
      </c>
    </row>
    <row r="2436" spans="1:4">
      <c r="A2436" t="s">
        <v>26</v>
      </c>
      <c r="B2436" t="s">
        <v>226</v>
      </c>
      <c r="C2436" s="9">
        <v>46232</v>
      </c>
      <c r="D2436" s="10">
        <v>16947</v>
      </c>
    </row>
    <row r="2437" spans="1:4">
      <c r="A2437" t="s">
        <v>7</v>
      </c>
      <c r="B2437" t="s">
        <v>204</v>
      </c>
      <c r="C2437" s="9">
        <v>46232</v>
      </c>
      <c r="D2437" s="10">
        <v>21049</v>
      </c>
    </row>
    <row r="2438" spans="1:4">
      <c r="A2438" t="s">
        <v>7</v>
      </c>
      <c r="B2438" t="s">
        <v>101</v>
      </c>
      <c r="C2438" s="9">
        <v>46232</v>
      </c>
      <c r="D2438" s="10">
        <v>23024</v>
      </c>
    </row>
    <row r="2439" spans="1:4">
      <c r="A2439" t="s">
        <v>9</v>
      </c>
      <c r="B2439" t="s">
        <v>91</v>
      </c>
      <c r="C2439" s="9">
        <v>46232</v>
      </c>
      <c r="D2439" s="10">
        <v>29240</v>
      </c>
    </row>
    <row r="2440" spans="1:4">
      <c r="A2440" t="s">
        <v>5</v>
      </c>
      <c r="B2440" t="s">
        <v>224</v>
      </c>
      <c r="C2440" s="9">
        <v>46232</v>
      </c>
      <c r="D2440" s="10">
        <v>44353</v>
      </c>
    </row>
    <row r="2441" spans="1:4">
      <c r="A2441" t="s">
        <v>5</v>
      </c>
      <c r="B2441" t="s">
        <v>107</v>
      </c>
      <c r="C2441" s="9">
        <v>46232</v>
      </c>
      <c r="D2441" s="10">
        <v>43253</v>
      </c>
    </row>
    <row r="2442" spans="1:4">
      <c r="A2442" t="s">
        <v>5</v>
      </c>
      <c r="B2442" t="s">
        <v>152</v>
      </c>
      <c r="C2442" s="9">
        <v>46232</v>
      </c>
      <c r="D2442" s="10">
        <v>26136</v>
      </c>
    </row>
    <row r="2443" spans="1:4">
      <c r="A2443" t="s">
        <v>5</v>
      </c>
      <c r="B2443" t="s">
        <v>198</v>
      </c>
      <c r="C2443" s="9">
        <v>46232</v>
      </c>
      <c r="D2443" s="10">
        <v>36751</v>
      </c>
    </row>
    <row r="2444" spans="1:4">
      <c r="A2444" t="s">
        <v>5</v>
      </c>
      <c r="B2444" t="s">
        <v>179</v>
      </c>
      <c r="C2444" s="9">
        <v>46232</v>
      </c>
      <c r="D2444" s="10">
        <v>33903</v>
      </c>
    </row>
    <row r="2445" spans="1:4">
      <c r="A2445" t="s">
        <v>4</v>
      </c>
      <c r="B2445" t="s">
        <v>165</v>
      </c>
      <c r="C2445" s="9">
        <v>46233</v>
      </c>
      <c r="D2445" s="10">
        <v>36410</v>
      </c>
    </row>
    <row r="2446" spans="1:4">
      <c r="A2446" t="s">
        <v>4</v>
      </c>
      <c r="B2446" t="s">
        <v>214</v>
      </c>
      <c r="C2446" s="9">
        <v>46233</v>
      </c>
      <c r="D2446" s="10">
        <v>36318</v>
      </c>
    </row>
    <row r="2447" spans="1:4">
      <c r="A2447" t="s">
        <v>28</v>
      </c>
      <c r="B2447" t="s">
        <v>279</v>
      </c>
      <c r="C2447" s="9">
        <v>46233</v>
      </c>
      <c r="D2447" s="10">
        <v>13608</v>
      </c>
    </row>
    <row r="2448" spans="1:4">
      <c r="A2448" t="s">
        <v>26</v>
      </c>
      <c r="B2448" t="s">
        <v>289</v>
      </c>
      <c r="C2448" s="9">
        <v>46233</v>
      </c>
      <c r="D2448" s="10">
        <v>12344</v>
      </c>
    </row>
    <row r="2449" spans="1:4">
      <c r="A2449" t="s">
        <v>26</v>
      </c>
      <c r="B2449" t="s">
        <v>189</v>
      </c>
      <c r="C2449" s="9">
        <v>46233</v>
      </c>
      <c r="D2449" s="10">
        <v>10843</v>
      </c>
    </row>
    <row r="2450" spans="1:4">
      <c r="A2450" t="s">
        <v>8</v>
      </c>
      <c r="B2450" t="s">
        <v>183</v>
      </c>
      <c r="C2450" s="9">
        <v>46233</v>
      </c>
      <c r="D2450" s="10">
        <v>17883</v>
      </c>
    </row>
    <row r="2451" spans="1:4">
      <c r="A2451" t="s">
        <v>6</v>
      </c>
      <c r="B2451" t="s">
        <v>208</v>
      </c>
      <c r="C2451" s="9">
        <v>46233</v>
      </c>
      <c r="D2451" s="10">
        <v>22012</v>
      </c>
    </row>
    <row r="2452" spans="1:4">
      <c r="A2452" t="s">
        <v>9</v>
      </c>
      <c r="B2452" t="s">
        <v>106</v>
      </c>
      <c r="C2452" s="9">
        <v>46233</v>
      </c>
      <c r="D2452" s="10">
        <v>33003</v>
      </c>
    </row>
    <row r="2453" spans="1:4">
      <c r="A2453" t="s">
        <v>9</v>
      </c>
      <c r="B2453" t="s">
        <v>91</v>
      </c>
      <c r="C2453" s="9">
        <v>46233</v>
      </c>
      <c r="D2453" s="10">
        <v>21525</v>
      </c>
    </row>
    <row r="2454" spans="1:4">
      <c r="A2454" t="s">
        <v>9</v>
      </c>
      <c r="B2454" t="s">
        <v>167</v>
      </c>
      <c r="C2454" s="9">
        <v>46233</v>
      </c>
      <c r="D2454" s="10">
        <v>44098</v>
      </c>
    </row>
    <row r="2455" spans="1:4">
      <c r="A2455" t="s">
        <v>9</v>
      </c>
      <c r="B2455" t="s">
        <v>192</v>
      </c>
      <c r="C2455" s="9">
        <v>46233</v>
      </c>
      <c r="D2455" s="10">
        <v>40140</v>
      </c>
    </row>
    <row r="2456" spans="1:4">
      <c r="A2456" t="s">
        <v>9</v>
      </c>
      <c r="B2456" t="s">
        <v>76</v>
      </c>
      <c r="C2456" s="9">
        <v>46233</v>
      </c>
      <c r="D2456" s="10">
        <v>36620</v>
      </c>
    </row>
    <row r="2457" spans="1:4">
      <c r="A2457" t="s">
        <v>5</v>
      </c>
      <c r="B2457" t="s">
        <v>198</v>
      </c>
      <c r="C2457" s="9">
        <v>46233</v>
      </c>
      <c r="D2457" s="10">
        <v>34952</v>
      </c>
    </row>
    <row r="2458" spans="1:4">
      <c r="A2458" t="s">
        <v>5</v>
      </c>
      <c r="B2458" t="s">
        <v>70</v>
      </c>
      <c r="C2458" s="9">
        <v>46233</v>
      </c>
      <c r="D2458" s="10">
        <v>42873</v>
      </c>
    </row>
    <row r="2459" spans="1:4">
      <c r="A2459" t="s">
        <v>5</v>
      </c>
      <c r="B2459" t="s">
        <v>71</v>
      </c>
      <c r="C2459" s="9">
        <v>46233</v>
      </c>
      <c r="D2459" s="10">
        <v>38676</v>
      </c>
    </row>
    <row r="2460" spans="1:4">
      <c r="A2460" t="s">
        <v>4</v>
      </c>
      <c r="B2460" t="s">
        <v>231</v>
      </c>
      <c r="C2460" s="9">
        <v>46234</v>
      </c>
      <c r="D2460" s="10">
        <v>31657</v>
      </c>
    </row>
    <row r="2461" spans="1:4">
      <c r="A2461" t="s">
        <v>31</v>
      </c>
      <c r="B2461" t="s">
        <v>83</v>
      </c>
      <c r="C2461" s="9">
        <v>46234</v>
      </c>
      <c r="D2461" s="10">
        <v>9209</v>
      </c>
    </row>
    <row r="2462" spans="1:4">
      <c r="A2462" t="s">
        <v>30</v>
      </c>
      <c r="B2462" t="s">
        <v>261</v>
      </c>
      <c r="C2462" s="9">
        <v>46234</v>
      </c>
      <c r="D2462" s="10">
        <v>11627</v>
      </c>
    </row>
    <row r="2463" spans="1:4">
      <c r="A2463" t="s">
        <v>29</v>
      </c>
      <c r="B2463" t="s">
        <v>275</v>
      </c>
      <c r="C2463" s="9">
        <v>46234</v>
      </c>
      <c r="D2463" s="10">
        <v>16264</v>
      </c>
    </row>
    <row r="2464" spans="1:4">
      <c r="A2464" t="s">
        <v>7</v>
      </c>
      <c r="B2464" t="s">
        <v>129</v>
      </c>
      <c r="C2464" s="9">
        <v>46234</v>
      </c>
      <c r="D2464" s="10">
        <v>19218</v>
      </c>
    </row>
    <row r="2465" spans="1:4">
      <c r="A2465" t="s">
        <v>7</v>
      </c>
      <c r="B2465" t="s">
        <v>203</v>
      </c>
      <c r="C2465" s="9">
        <v>46234</v>
      </c>
      <c r="D2465" s="10">
        <v>16212</v>
      </c>
    </row>
    <row r="2466" spans="1:4">
      <c r="A2466" t="s">
        <v>5</v>
      </c>
      <c r="B2466" t="s">
        <v>81</v>
      </c>
      <c r="C2466" s="9">
        <v>46234</v>
      </c>
      <c r="D2466" s="10">
        <v>37008</v>
      </c>
    </row>
    <row r="2467" spans="1:4">
      <c r="A2467" t="s">
        <v>36</v>
      </c>
      <c r="B2467" t="s">
        <v>287</v>
      </c>
      <c r="C2467" s="9">
        <v>46235</v>
      </c>
      <c r="D2467" s="10">
        <v>10762</v>
      </c>
    </row>
    <row r="2468" spans="1:4">
      <c r="A2468" t="s">
        <v>26</v>
      </c>
      <c r="B2468" t="s">
        <v>149</v>
      </c>
      <c r="C2468" s="9">
        <v>46235</v>
      </c>
      <c r="D2468" s="10">
        <v>15375</v>
      </c>
    </row>
    <row r="2469" spans="1:4">
      <c r="A2469" t="s">
        <v>34</v>
      </c>
      <c r="B2469" t="s">
        <v>140</v>
      </c>
      <c r="C2469" s="9">
        <v>46235</v>
      </c>
      <c r="D2469" s="10">
        <v>12503</v>
      </c>
    </row>
    <row r="2470" spans="1:4">
      <c r="A2470" t="s">
        <v>37</v>
      </c>
      <c r="B2470" t="s">
        <v>164</v>
      </c>
      <c r="C2470" s="9">
        <v>46235</v>
      </c>
      <c r="D2470" s="10">
        <v>14578</v>
      </c>
    </row>
    <row r="2471" spans="1:4">
      <c r="A2471" t="s">
        <v>5</v>
      </c>
      <c r="B2471" t="s">
        <v>116</v>
      </c>
      <c r="C2471" s="9">
        <v>46235</v>
      </c>
      <c r="D2471" s="10">
        <v>32161</v>
      </c>
    </row>
    <row r="2472" spans="1:4">
      <c r="A2472" t="s">
        <v>5</v>
      </c>
      <c r="B2472" t="s">
        <v>107</v>
      </c>
      <c r="C2472" s="9">
        <v>46235</v>
      </c>
      <c r="D2472" s="10">
        <v>47235</v>
      </c>
    </row>
    <row r="2473" spans="1:4">
      <c r="A2473" t="s">
        <v>5</v>
      </c>
      <c r="B2473" t="s">
        <v>211</v>
      </c>
      <c r="C2473" s="9">
        <v>46235</v>
      </c>
      <c r="D2473" s="10">
        <v>33653</v>
      </c>
    </row>
    <row r="2474" spans="1:4">
      <c r="A2474" t="s">
        <v>5</v>
      </c>
      <c r="B2474" t="s">
        <v>93</v>
      </c>
      <c r="C2474" s="9">
        <v>46235</v>
      </c>
      <c r="D2474" s="10">
        <v>36399</v>
      </c>
    </row>
    <row r="2475" spans="1:4">
      <c r="A2475" t="s">
        <v>5</v>
      </c>
      <c r="B2475" t="s">
        <v>70</v>
      </c>
      <c r="C2475" s="9">
        <v>46235</v>
      </c>
      <c r="D2475" s="10">
        <v>33789</v>
      </c>
    </row>
    <row r="2476" spans="1:4">
      <c r="A2476" t="s">
        <v>27</v>
      </c>
      <c r="B2476" t="s">
        <v>229</v>
      </c>
      <c r="C2476" s="9">
        <v>46236</v>
      </c>
      <c r="D2476" s="10">
        <v>29144</v>
      </c>
    </row>
    <row r="2477" spans="1:4">
      <c r="A2477" t="s">
        <v>4</v>
      </c>
      <c r="B2477" t="s">
        <v>265</v>
      </c>
      <c r="C2477" s="9">
        <v>46236</v>
      </c>
      <c r="D2477" s="10">
        <v>20560</v>
      </c>
    </row>
    <row r="2478" spans="1:4">
      <c r="A2478" t="s">
        <v>31</v>
      </c>
      <c r="B2478" t="s">
        <v>286</v>
      </c>
      <c r="C2478" s="9">
        <v>46236</v>
      </c>
      <c r="D2478" s="10">
        <v>11682</v>
      </c>
    </row>
    <row r="2479" spans="1:4">
      <c r="A2479" t="s">
        <v>26</v>
      </c>
      <c r="B2479" t="s">
        <v>260</v>
      </c>
      <c r="C2479" s="9">
        <v>46236</v>
      </c>
      <c r="D2479" s="10">
        <v>14690</v>
      </c>
    </row>
    <row r="2480" spans="1:4">
      <c r="A2480" t="s">
        <v>30</v>
      </c>
      <c r="B2480" t="s">
        <v>195</v>
      </c>
      <c r="C2480" s="9">
        <v>46236</v>
      </c>
      <c r="D2480" s="10">
        <v>13515</v>
      </c>
    </row>
    <row r="2481" spans="1:4">
      <c r="A2481" t="s">
        <v>8</v>
      </c>
      <c r="B2481" t="s">
        <v>252</v>
      </c>
      <c r="C2481" s="9">
        <v>46236</v>
      </c>
      <c r="D2481" s="10">
        <v>17588</v>
      </c>
    </row>
    <row r="2482" spans="1:4">
      <c r="A2482" t="s">
        <v>32</v>
      </c>
      <c r="B2482" t="s">
        <v>88</v>
      </c>
      <c r="C2482" s="9">
        <v>46236</v>
      </c>
      <c r="D2482" s="10">
        <v>11064</v>
      </c>
    </row>
    <row r="2483" spans="1:4">
      <c r="A2483" t="s">
        <v>9</v>
      </c>
      <c r="B2483" t="s">
        <v>276</v>
      </c>
      <c r="C2483" s="9">
        <v>46236</v>
      </c>
      <c r="D2483" s="10">
        <v>48914</v>
      </c>
    </row>
    <row r="2484" spans="1:4">
      <c r="A2484" t="s">
        <v>9</v>
      </c>
      <c r="B2484" t="s">
        <v>267</v>
      </c>
      <c r="C2484" s="9">
        <v>46236</v>
      </c>
      <c r="D2484" s="10">
        <v>28917</v>
      </c>
    </row>
    <row r="2485" spans="1:4">
      <c r="A2485" t="s">
        <v>9</v>
      </c>
      <c r="B2485" t="s">
        <v>65</v>
      </c>
      <c r="C2485" s="9">
        <v>46236</v>
      </c>
      <c r="D2485" s="10">
        <v>38919</v>
      </c>
    </row>
    <row r="2486" spans="1:4">
      <c r="A2486" t="s">
        <v>5</v>
      </c>
      <c r="B2486" t="s">
        <v>95</v>
      </c>
      <c r="C2486" s="9">
        <v>46236</v>
      </c>
      <c r="D2486" s="10">
        <v>36121</v>
      </c>
    </row>
    <row r="2487" spans="1:4">
      <c r="A2487" t="s">
        <v>5</v>
      </c>
      <c r="B2487" t="s">
        <v>178</v>
      </c>
      <c r="C2487" s="9">
        <v>46236</v>
      </c>
      <c r="D2487" s="10">
        <v>66678</v>
      </c>
    </row>
    <row r="2488" spans="1:4">
      <c r="A2488" t="s">
        <v>5</v>
      </c>
      <c r="B2488" t="s">
        <v>210</v>
      </c>
      <c r="C2488" s="9">
        <v>46236</v>
      </c>
      <c r="D2488" s="10">
        <v>51409</v>
      </c>
    </row>
    <row r="2489" spans="1:4">
      <c r="A2489" t="s">
        <v>4</v>
      </c>
      <c r="B2489" t="s">
        <v>231</v>
      </c>
      <c r="C2489" s="9">
        <v>46237</v>
      </c>
      <c r="D2489" s="10">
        <v>32415</v>
      </c>
    </row>
    <row r="2490" spans="1:4">
      <c r="A2490" t="s">
        <v>4</v>
      </c>
      <c r="B2490" t="s">
        <v>225</v>
      </c>
      <c r="C2490" s="9">
        <v>46237</v>
      </c>
      <c r="D2490" s="10">
        <v>24205</v>
      </c>
    </row>
    <row r="2491" spans="1:4">
      <c r="A2491" t="s">
        <v>28</v>
      </c>
      <c r="B2491" t="s">
        <v>278</v>
      </c>
      <c r="C2491" s="9">
        <v>46237</v>
      </c>
      <c r="D2491" s="10">
        <v>21010</v>
      </c>
    </row>
    <row r="2492" spans="1:4">
      <c r="A2492" t="s">
        <v>26</v>
      </c>
      <c r="B2492" t="s">
        <v>209</v>
      </c>
      <c r="C2492" s="9">
        <v>46237</v>
      </c>
      <c r="D2492" s="10">
        <v>21679</v>
      </c>
    </row>
    <row r="2493" spans="1:4">
      <c r="A2493" t="s">
        <v>26</v>
      </c>
      <c r="B2493" t="s">
        <v>216</v>
      </c>
      <c r="C2493" s="9">
        <v>46237</v>
      </c>
      <c r="D2493" s="10">
        <v>14717</v>
      </c>
    </row>
    <row r="2494" spans="1:4">
      <c r="A2494" t="s">
        <v>29</v>
      </c>
      <c r="B2494" t="s">
        <v>196</v>
      </c>
      <c r="C2494" s="9">
        <v>46237</v>
      </c>
      <c r="D2494" s="10">
        <v>16778</v>
      </c>
    </row>
    <row r="2495" spans="1:4">
      <c r="A2495" t="s">
        <v>7</v>
      </c>
      <c r="B2495" t="s">
        <v>130</v>
      </c>
      <c r="C2495" s="9">
        <v>46237</v>
      </c>
      <c r="D2495" s="10">
        <v>9374</v>
      </c>
    </row>
    <row r="2496" spans="1:4">
      <c r="A2496" t="s">
        <v>9</v>
      </c>
      <c r="B2496" t="s">
        <v>197</v>
      </c>
      <c r="C2496" s="9">
        <v>46237</v>
      </c>
      <c r="D2496" s="10">
        <v>41374</v>
      </c>
    </row>
    <row r="2497" spans="1:4">
      <c r="A2497" t="s">
        <v>5</v>
      </c>
      <c r="B2497" t="s">
        <v>67</v>
      </c>
      <c r="C2497" s="9">
        <v>46237</v>
      </c>
      <c r="D2497" s="10">
        <v>39516</v>
      </c>
    </row>
    <row r="2498" spans="1:4">
      <c r="A2498" t="s">
        <v>5</v>
      </c>
      <c r="B2498" t="s">
        <v>93</v>
      </c>
      <c r="C2498" s="9">
        <v>46237</v>
      </c>
      <c r="D2498" s="10">
        <v>39585</v>
      </c>
    </row>
    <row r="2499" spans="1:4">
      <c r="A2499" t="s">
        <v>5</v>
      </c>
      <c r="B2499" t="s">
        <v>152</v>
      </c>
      <c r="C2499" s="9">
        <v>46237</v>
      </c>
      <c r="D2499" s="10">
        <v>46141</v>
      </c>
    </row>
    <row r="2500" spans="1:4">
      <c r="A2500" t="s">
        <v>5</v>
      </c>
      <c r="B2500" t="s">
        <v>175</v>
      </c>
      <c r="C2500" s="9">
        <v>46237</v>
      </c>
      <c r="D2500" s="10">
        <v>48478</v>
      </c>
    </row>
    <row r="2501" spans="1:4">
      <c r="A2501" t="s">
        <v>5</v>
      </c>
      <c r="B2501" t="s">
        <v>78</v>
      </c>
      <c r="C2501" s="9">
        <v>46237</v>
      </c>
      <c r="D2501" s="10">
        <v>38741</v>
      </c>
    </row>
    <row r="2502" spans="1:4">
      <c r="A2502" t="s">
        <v>5</v>
      </c>
      <c r="B2502" t="s">
        <v>136</v>
      </c>
      <c r="C2502" s="9">
        <v>46237</v>
      </c>
      <c r="D2502" s="10">
        <v>37799</v>
      </c>
    </row>
    <row r="2503" spans="1:4">
      <c r="A2503" t="s">
        <v>5</v>
      </c>
      <c r="B2503" t="s">
        <v>110</v>
      </c>
      <c r="C2503" s="9">
        <v>46237</v>
      </c>
      <c r="D2503" s="10">
        <v>30903</v>
      </c>
    </row>
    <row r="2504" spans="1:4">
      <c r="A2504" t="s">
        <v>5</v>
      </c>
      <c r="B2504" t="s">
        <v>70</v>
      </c>
      <c r="C2504" s="9">
        <v>46237</v>
      </c>
      <c r="D2504" s="10">
        <v>44620</v>
      </c>
    </row>
    <row r="2505" spans="1:4">
      <c r="A2505" t="s">
        <v>27</v>
      </c>
      <c r="B2505" t="s">
        <v>96</v>
      </c>
      <c r="C2505" s="9">
        <v>46238</v>
      </c>
      <c r="D2505" s="10">
        <v>5200</v>
      </c>
    </row>
    <row r="2506" spans="1:4">
      <c r="A2506" t="s">
        <v>4</v>
      </c>
      <c r="B2506" t="s">
        <v>123</v>
      </c>
      <c r="C2506" s="9">
        <v>46238</v>
      </c>
      <c r="D2506" s="10">
        <v>8311</v>
      </c>
    </row>
    <row r="2507" spans="1:4">
      <c r="A2507" t="s">
        <v>25</v>
      </c>
      <c r="B2507" t="s">
        <v>190</v>
      </c>
      <c r="C2507" s="9">
        <v>46238</v>
      </c>
      <c r="D2507" s="10">
        <v>16725</v>
      </c>
    </row>
    <row r="2508" spans="1:4">
      <c r="A2508" t="s">
        <v>30</v>
      </c>
      <c r="B2508" t="s">
        <v>279</v>
      </c>
      <c r="C2508" s="9">
        <v>46238</v>
      </c>
      <c r="D2508" s="10">
        <v>13533</v>
      </c>
    </row>
    <row r="2509" spans="1:4">
      <c r="A2509" t="s">
        <v>7</v>
      </c>
      <c r="B2509" t="s">
        <v>173</v>
      </c>
      <c r="C2509" s="9">
        <v>46238</v>
      </c>
      <c r="D2509" s="10">
        <v>24040</v>
      </c>
    </row>
    <row r="2510" spans="1:4">
      <c r="A2510" t="s">
        <v>7</v>
      </c>
      <c r="B2510" t="s">
        <v>62</v>
      </c>
      <c r="C2510" s="9">
        <v>46238</v>
      </c>
      <c r="D2510" s="10">
        <v>15156</v>
      </c>
    </row>
    <row r="2511" spans="1:4">
      <c r="A2511" t="s">
        <v>5</v>
      </c>
      <c r="B2511" t="s">
        <v>141</v>
      </c>
      <c r="C2511" s="9">
        <v>46238</v>
      </c>
      <c r="D2511" s="10">
        <v>38765</v>
      </c>
    </row>
    <row r="2512" spans="1:4">
      <c r="A2512" t="s">
        <v>5</v>
      </c>
      <c r="B2512" t="s">
        <v>79</v>
      </c>
      <c r="C2512" s="9">
        <v>46238</v>
      </c>
      <c r="D2512" s="10">
        <v>29347</v>
      </c>
    </row>
    <row r="2513" spans="1:4">
      <c r="A2513" t="s">
        <v>27</v>
      </c>
      <c r="B2513" t="s">
        <v>238</v>
      </c>
      <c r="C2513" s="9">
        <v>46239</v>
      </c>
      <c r="D2513" s="10">
        <v>12677</v>
      </c>
    </row>
    <row r="2514" spans="1:4">
      <c r="A2514" t="s">
        <v>7</v>
      </c>
      <c r="B2514" t="s">
        <v>186</v>
      </c>
      <c r="C2514" s="9">
        <v>46239</v>
      </c>
      <c r="D2514" s="10">
        <v>29935</v>
      </c>
    </row>
    <row r="2515" spans="1:4">
      <c r="A2515" t="s">
        <v>5</v>
      </c>
      <c r="B2515" t="s">
        <v>116</v>
      </c>
      <c r="C2515" s="9">
        <v>46239</v>
      </c>
      <c r="D2515" s="10">
        <v>50052</v>
      </c>
    </row>
    <row r="2516" spans="1:4">
      <c r="A2516" t="s">
        <v>27</v>
      </c>
      <c r="B2516" t="s">
        <v>212</v>
      </c>
      <c r="C2516" s="9">
        <v>46240</v>
      </c>
      <c r="D2516" s="10">
        <v>5200</v>
      </c>
    </row>
    <row r="2517" spans="1:4">
      <c r="A2517" t="s">
        <v>4</v>
      </c>
      <c r="B2517" t="s">
        <v>124</v>
      </c>
      <c r="C2517" s="9">
        <v>46240</v>
      </c>
      <c r="D2517" s="10">
        <v>37177</v>
      </c>
    </row>
    <row r="2518" spans="1:4">
      <c r="A2518" t="s">
        <v>31</v>
      </c>
      <c r="B2518" t="s">
        <v>82</v>
      </c>
      <c r="C2518" s="9">
        <v>46240</v>
      </c>
      <c r="D2518" s="10">
        <v>6100</v>
      </c>
    </row>
    <row r="2519" spans="1:4">
      <c r="A2519" t="s">
        <v>25</v>
      </c>
      <c r="B2519" t="s">
        <v>251</v>
      </c>
      <c r="C2519" s="9">
        <v>46240</v>
      </c>
      <c r="D2519" s="10">
        <v>19823</v>
      </c>
    </row>
    <row r="2520" spans="1:4">
      <c r="A2520" t="s">
        <v>30</v>
      </c>
      <c r="B2520" t="s">
        <v>261</v>
      </c>
      <c r="C2520" s="9">
        <v>46240</v>
      </c>
      <c r="D2520" s="10">
        <v>12454</v>
      </c>
    </row>
    <row r="2521" spans="1:4">
      <c r="A2521" t="s">
        <v>8</v>
      </c>
      <c r="B2521" t="s">
        <v>112</v>
      </c>
      <c r="C2521" s="9">
        <v>46240</v>
      </c>
      <c r="D2521" s="10">
        <v>34429</v>
      </c>
    </row>
    <row r="2522" spans="1:4">
      <c r="A2522" t="s">
        <v>6</v>
      </c>
      <c r="B2522" t="s">
        <v>257</v>
      </c>
      <c r="C2522" s="9">
        <v>46240</v>
      </c>
      <c r="D2522" s="10">
        <v>31019</v>
      </c>
    </row>
    <row r="2523" spans="1:4">
      <c r="A2523" t="s">
        <v>9</v>
      </c>
      <c r="B2523" t="s">
        <v>131</v>
      </c>
      <c r="C2523" s="9">
        <v>46240</v>
      </c>
      <c r="D2523" s="10">
        <v>40004</v>
      </c>
    </row>
    <row r="2524" spans="1:4">
      <c r="A2524" t="s">
        <v>9</v>
      </c>
      <c r="B2524" t="s">
        <v>76</v>
      </c>
      <c r="C2524" s="9">
        <v>46240</v>
      </c>
      <c r="D2524" s="10">
        <v>27920</v>
      </c>
    </row>
    <row r="2525" spans="1:4">
      <c r="A2525" t="s">
        <v>5</v>
      </c>
      <c r="B2525" t="s">
        <v>272</v>
      </c>
      <c r="C2525" s="9">
        <v>46240</v>
      </c>
      <c r="D2525" s="10">
        <v>36627</v>
      </c>
    </row>
    <row r="2526" spans="1:4">
      <c r="A2526" t="s">
        <v>5</v>
      </c>
      <c r="B2526" t="s">
        <v>176</v>
      </c>
      <c r="C2526" s="9">
        <v>46240</v>
      </c>
      <c r="D2526" s="10">
        <v>48484</v>
      </c>
    </row>
    <row r="2527" spans="1:4">
      <c r="A2527" t="s">
        <v>5</v>
      </c>
      <c r="B2527" t="s">
        <v>110</v>
      </c>
      <c r="C2527" s="9">
        <v>46240</v>
      </c>
      <c r="D2527" s="10">
        <v>35759</v>
      </c>
    </row>
    <row r="2528" spans="1:4">
      <c r="A2528" t="s">
        <v>5</v>
      </c>
      <c r="B2528" t="s">
        <v>79</v>
      </c>
      <c r="C2528" s="9">
        <v>46240</v>
      </c>
      <c r="D2528" s="10">
        <v>37784</v>
      </c>
    </row>
    <row r="2529" spans="1:4">
      <c r="A2529" t="s">
        <v>4</v>
      </c>
      <c r="B2529" t="s">
        <v>104</v>
      </c>
      <c r="C2529" s="9">
        <v>46241</v>
      </c>
      <c r="D2529" s="10">
        <v>23806</v>
      </c>
    </row>
    <row r="2530" spans="1:4">
      <c r="A2530" t="s">
        <v>25</v>
      </c>
      <c r="B2530" t="s">
        <v>240</v>
      </c>
      <c r="C2530" s="9">
        <v>46241</v>
      </c>
      <c r="D2530" s="10">
        <v>10072</v>
      </c>
    </row>
    <row r="2531" spans="1:4">
      <c r="A2531" t="s">
        <v>8</v>
      </c>
      <c r="B2531" t="s">
        <v>128</v>
      </c>
      <c r="C2531" s="9">
        <v>46241</v>
      </c>
      <c r="D2531" s="10">
        <v>28231</v>
      </c>
    </row>
    <row r="2532" spans="1:4">
      <c r="A2532" t="s">
        <v>6</v>
      </c>
      <c r="B2532" t="s">
        <v>228</v>
      </c>
      <c r="C2532" s="9">
        <v>46241</v>
      </c>
      <c r="D2532" s="10">
        <v>22226</v>
      </c>
    </row>
    <row r="2533" spans="1:4">
      <c r="A2533" t="s">
        <v>6</v>
      </c>
      <c r="B2533" t="s">
        <v>218</v>
      </c>
      <c r="C2533" s="9">
        <v>46241</v>
      </c>
      <c r="D2533" s="10">
        <v>17034</v>
      </c>
    </row>
    <row r="2534" spans="1:4">
      <c r="A2534" t="s">
        <v>7</v>
      </c>
      <c r="B2534" t="s">
        <v>290</v>
      </c>
      <c r="C2534" s="9">
        <v>46241</v>
      </c>
      <c r="D2534" s="10">
        <v>34683</v>
      </c>
    </row>
    <row r="2535" spans="1:4">
      <c r="A2535" t="s">
        <v>7</v>
      </c>
      <c r="B2535" t="s">
        <v>292</v>
      </c>
      <c r="C2535" s="9">
        <v>46241</v>
      </c>
      <c r="D2535" s="10">
        <v>42573</v>
      </c>
    </row>
    <row r="2536" spans="1:4">
      <c r="A2536" t="s">
        <v>9</v>
      </c>
      <c r="B2536" t="s">
        <v>57</v>
      </c>
      <c r="C2536" s="9">
        <v>46241</v>
      </c>
      <c r="D2536" s="10">
        <v>33705</v>
      </c>
    </row>
    <row r="2537" spans="1:4">
      <c r="A2537" t="s">
        <v>9</v>
      </c>
      <c r="B2537" t="s">
        <v>75</v>
      </c>
      <c r="C2537" s="9">
        <v>46241</v>
      </c>
      <c r="D2537" s="10">
        <v>24189</v>
      </c>
    </row>
    <row r="2538" spans="1:4">
      <c r="A2538" t="s">
        <v>9</v>
      </c>
      <c r="B2538" t="s">
        <v>293</v>
      </c>
      <c r="C2538" s="9">
        <v>46241</v>
      </c>
      <c r="D2538" s="10">
        <v>48647</v>
      </c>
    </row>
    <row r="2539" spans="1:4">
      <c r="A2539" t="s">
        <v>9</v>
      </c>
      <c r="B2539" t="s">
        <v>223</v>
      </c>
      <c r="C2539" s="9">
        <v>46241</v>
      </c>
      <c r="D2539" s="10">
        <v>13781</v>
      </c>
    </row>
    <row r="2540" spans="1:4">
      <c r="A2540" t="s">
        <v>5</v>
      </c>
      <c r="B2540" t="s">
        <v>224</v>
      </c>
      <c r="C2540" s="9">
        <v>46241</v>
      </c>
      <c r="D2540" s="10">
        <v>49061</v>
      </c>
    </row>
    <row r="2541" spans="1:4">
      <c r="A2541" t="s">
        <v>5</v>
      </c>
      <c r="B2541" t="s">
        <v>272</v>
      </c>
      <c r="C2541" s="9">
        <v>46241</v>
      </c>
      <c r="D2541" s="10">
        <v>44939</v>
      </c>
    </row>
    <row r="2542" spans="1:4">
      <c r="A2542" t="s">
        <v>5</v>
      </c>
      <c r="B2542" t="s">
        <v>117</v>
      </c>
      <c r="C2542" s="9">
        <v>46241</v>
      </c>
      <c r="D2542" s="10">
        <v>57852</v>
      </c>
    </row>
    <row r="2543" spans="1:4">
      <c r="A2543" t="s">
        <v>5</v>
      </c>
      <c r="B2543" t="s">
        <v>199</v>
      </c>
      <c r="C2543" s="9">
        <v>46241</v>
      </c>
      <c r="D2543" s="10">
        <v>33955</v>
      </c>
    </row>
    <row r="2544" spans="1:4">
      <c r="A2544" t="s">
        <v>5</v>
      </c>
      <c r="B2544" t="s">
        <v>122</v>
      </c>
      <c r="C2544" s="9">
        <v>46241</v>
      </c>
      <c r="D2544" s="10">
        <v>39228</v>
      </c>
    </row>
    <row r="2545" spans="1:4">
      <c r="A2545" t="s">
        <v>4</v>
      </c>
      <c r="B2545" t="s">
        <v>136</v>
      </c>
      <c r="C2545" s="9">
        <v>46242</v>
      </c>
      <c r="D2545" s="10">
        <v>33549</v>
      </c>
    </row>
    <row r="2546" spans="1:4">
      <c r="A2546" t="s">
        <v>31</v>
      </c>
      <c r="B2546" t="s">
        <v>155</v>
      </c>
      <c r="C2546" s="9">
        <v>46242</v>
      </c>
      <c r="D2546" s="10">
        <v>13760</v>
      </c>
    </row>
    <row r="2547" spans="1:4">
      <c r="A2547" t="s">
        <v>25</v>
      </c>
      <c r="B2547" t="s">
        <v>59</v>
      </c>
      <c r="C2547" s="9">
        <v>46242</v>
      </c>
      <c r="D2547" s="10">
        <v>24662</v>
      </c>
    </row>
    <row r="2548" spans="1:4">
      <c r="A2548" t="s">
        <v>30</v>
      </c>
      <c r="B2548" t="s">
        <v>157</v>
      </c>
      <c r="C2548" s="9">
        <v>46242</v>
      </c>
      <c r="D2548" s="10">
        <v>11736</v>
      </c>
    </row>
    <row r="2549" spans="1:4">
      <c r="A2549" t="s">
        <v>6</v>
      </c>
      <c r="B2549" t="s">
        <v>233</v>
      </c>
      <c r="C2549" s="9">
        <v>46242</v>
      </c>
      <c r="D2549" s="10">
        <v>20069</v>
      </c>
    </row>
    <row r="2550" spans="1:4">
      <c r="A2550" t="s">
        <v>6</v>
      </c>
      <c r="B2550" t="s">
        <v>280</v>
      </c>
      <c r="C2550" s="9">
        <v>46242</v>
      </c>
      <c r="D2550" s="10">
        <v>22236</v>
      </c>
    </row>
    <row r="2551" spans="1:4">
      <c r="A2551" t="s">
        <v>29</v>
      </c>
      <c r="B2551" t="s">
        <v>275</v>
      </c>
      <c r="C2551" s="9">
        <v>46242</v>
      </c>
      <c r="D2551" s="10">
        <v>9084</v>
      </c>
    </row>
    <row r="2552" spans="1:4">
      <c r="A2552" t="s">
        <v>7</v>
      </c>
      <c r="B2552" t="s">
        <v>245</v>
      </c>
      <c r="C2552" s="9">
        <v>46242</v>
      </c>
      <c r="D2552" s="10">
        <v>41979</v>
      </c>
    </row>
    <row r="2553" spans="1:4">
      <c r="A2553" t="s">
        <v>5</v>
      </c>
      <c r="B2553" t="s">
        <v>66</v>
      </c>
      <c r="C2553" s="9">
        <v>46242</v>
      </c>
      <c r="D2553" s="10">
        <v>28567</v>
      </c>
    </row>
    <row r="2554" spans="1:4">
      <c r="A2554" t="s">
        <v>5</v>
      </c>
      <c r="B2554" t="s">
        <v>67</v>
      </c>
      <c r="C2554" s="9">
        <v>46242</v>
      </c>
      <c r="D2554" s="10">
        <v>45555</v>
      </c>
    </row>
    <row r="2555" spans="1:4">
      <c r="A2555" t="s">
        <v>5</v>
      </c>
      <c r="B2555" t="s">
        <v>211</v>
      </c>
      <c r="C2555" s="9">
        <v>46242</v>
      </c>
      <c r="D2555" s="10">
        <v>37896</v>
      </c>
    </row>
    <row r="2556" spans="1:4">
      <c r="A2556" t="s">
        <v>5</v>
      </c>
      <c r="B2556" t="s">
        <v>199</v>
      </c>
      <c r="C2556" s="9">
        <v>46242</v>
      </c>
      <c r="D2556" s="10">
        <v>46657</v>
      </c>
    </row>
    <row r="2557" spans="1:4">
      <c r="A2557" t="s">
        <v>5</v>
      </c>
      <c r="B2557" t="s">
        <v>118</v>
      </c>
      <c r="C2557" s="9">
        <v>46242</v>
      </c>
      <c r="D2557" s="10">
        <v>41379</v>
      </c>
    </row>
    <row r="2558" spans="1:4">
      <c r="A2558" t="s">
        <v>4</v>
      </c>
      <c r="B2558" t="s">
        <v>145</v>
      </c>
      <c r="C2558" s="9">
        <v>46243</v>
      </c>
      <c r="D2558" s="10">
        <v>40754</v>
      </c>
    </row>
    <row r="2559" spans="1:4">
      <c r="A2559" t="s">
        <v>29</v>
      </c>
      <c r="B2559" t="s">
        <v>114</v>
      </c>
      <c r="C2559" s="9">
        <v>46243</v>
      </c>
      <c r="D2559" s="10">
        <v>22196</v>
      </c>
    </row>
    <row r="2560" spans="1:4">
      <c r="A2560" t="s">
        <v>7</v>
      </c>
      <c r="B2560" t="s">
        <v>204</v>
      </c>
      <c r="C2560" s="9">
        <v>46243</v>
      </c>
      <c r="D2560" s="10">
        <v>31109</v>
      </c>
    </row>
    <row r="2561" spans="1:4">
      <c r="A2561" t="s">
        <v>9</v>
      </c>
      <c r="B2561" t="s">
        <v>102</v>
      </c>
      <c r="C2561" s="9">
        <v>46243</v>
      </c>
      <c r="D2561" s="10">
        <v>26623</v>
      </c>
    </row>
    <row r="2562" spans="1:4">
      <c r="A2562" t="s">
        <v>9</v>
      </c>
      <c r="B2562" t="s">
        <v>64</v>
      </c>
      <c r="C2562" s="9">
        <v>46243</v>
      </c>
      <c r="D2562" s="10">
        <v>28656</v>
      </c>
    </row>
    <row r="2563" spans="1:4">
      <c r="A2563" t="s">
        <v>5</v>
      </c>
      <c r="B2563" t="s">
        <v>67</v>
      </c>
      <c r="C2563" s="9">
        <v>46243</v>
      </c>
      <c r="D2563" s="10">
        <v>48652</v>
      </c>
    </row>
    <row r="2564" spans="1:4">
      <c r="A2564" t="s">
        <v>5</v>
      </c>
      <c r="B2564" t="s">
        <v>77</v>
      </c>
      <c r="C2564" s="9">
        <v>46243</v>
      </c>
      <c r="D2564" s="10">
        <v>38117</v>
      </c>
    </row>
    <row r="2565" spans="1:4">
      <c r="A2565" t="s">
        <v>5</v>
      </c>
      <c r="B2565" t="s">
        <v>284</v>
      </c>
      <c r="C2565" s="9">
        <v>46243</v>
      </c>
      <c r="D2565" s="10">
        <v>37727</v>
      </c>
    </row>
    <row r="2566" spans="1:4">
      <c r="A2566" t="s">
        <v>5</v>
      </c>
      <c r="B2566" t="s">
        <v>284</v>
      </c>
      <c r="C2566" s="9">
        <v>46243</v>
      </c>
      <c r="D2566" s="10">
        <v>40762</v>
      </c>
    </row>
    <row r="2567" spans="1:4">
      <c r="A2567" t="s">
        <v>5</v>
      </c>
      <c r="B2567" t="s">
        <v>210</v>
      </c>
      <c r="C2567" s="9">
        <v>46243</v>
      </c>
      <c r="D2567" s="10">
        <v>36367</v>
      </c>
    </row>
    <row r="2568" spans="1:4">
      <c r="A2568" t="s">
        <v>26</v>
      </c>
      <c r="B2568" t="s">
        <v>226</v>
      </c>
      <c r="C2568" s="9">
        <v>46244</v>
      </c>
      <c r="D2568" s="10">
        <v>17021</v>
      </c>
    </row>
    <row r="2569" spans="1:4">
      <c r="A2569" t="s">
        <v>5</v>
      </c>
      <c r="B2569" t="s">
        <v>66</v>
      </c>
      <c r="C2569" s="9">
        <v>46244</v>
      </c>
      <c r="D2569" s="10">
        <v>35720</v>
      </c>
    </row>
    <row r="2570" spans="1:4">
      <c r="A2570" t="s">
        <v>5</v>
      </c>
      <c r="B2570" t="s">
        <v>67</v>
      </c>
      <c r="C2570" s="9">
        <v>46244</v>
      </c>
      <c r="D2570" s="10">
        <v>44194</v>
      </c>
    </row>
    <row r="2571" spans="1:4">
      <c r="A2571" t="s">
        <v>5</v>
      </c>
      <c r="B2571" t="s">
        <v>121</v>
      </c>
      <c r="C2571" s="9">
        <v>46244</v>
      </c>
      <c r="D2571" s="10">
        <v>44055</v>
      </c>
    </row>
    <row r="2572" spans="1:4">
      <c r="A2572" t="s">
        <v>5</v>
      </c>
      <c r="B2572" t="s">
        <v>272</v>
      </c>
      <c r="C2572" s="9">
        <v>46244</v>
      </c>
      <c r="D2572" s="10">
        <v>47505</v>
      </c>
    </row>
    <row r="2573" spans="1:4">
      <c r="A2573" t="s">
        <v>5</v>
      </c>
      <c r="B2573" t="s">
        <v>272</v>
      </c>
      <c r="C2573" s="9">
        <v>46244</v>
      </c>
      <c r="D2573" s="10">
        <v>47232</v>
      </c>
    </row>
    <row r="2574" spans="1:4">
      <c r="A2574" t="s">
        <v>5</v>
      </c>
      <c r="B2574" t="s">
        <v>168</v>
      </c>
      <c r="C2574" s="9">
        <v>46244</v>
      </c>
      <c r="D2574" s="10">
        <v>28898</v>
      </c>
    </row>
    <row r="2575" spans="1:4">
      <c r="A2575" t="s">
        <v>5</v>
      </c>
      <c r="B2575" t="s">
        <v>95</v>
      </c>
      <c r="C2575" s="9">
        <v>46244</v>
      </c>
      <c r="D2575" s="10">
        <v>49982</v>
      </c>
    </row>
    <row r="2576" spans="1:4">
      <c r="A2576" t="s">
        <v>5</v>
      </c>
      <c r="B2576" t="s">
        <v>118</v>
      </c>
      <c r="C2576" s="9">
        <v>46244</v>
      </c>
      <c r="D2576" s="10">
        <v>48742</v>
      </c>
    </row>
    <row r="2577" spans="1:4">
      <c r="A2577" t="s">
        <v>35</v>
      </c>
      <c r="B2577" t="s">
        <v>246</v>
      </c>
      <c r="C2577" s="9">
        <v>46245</v>
      </c>
      <c r="D2577" s="10">
        <v>19856</v>
      </c>
    </row>
    <row r="2578" spans="1:4">
      <c r="A2578" t="s">
        <v>25</v>
      </c>
      <c r="B2578" t="s">
        <v>180</v>
      </c>
      <c r="C2578" s="9">
        <v>46245</v>
      </c>
      <c r="D2578" s="10">
        <v>14656</v>
      </c>
    </row>
    <row r="2579" spans="1:4">
      <c r="A2579" t="s">
        <v>25</v>
      </c>
      <c r="B2579" t="s">
        <v>86</v>
      </c>
      <c r="C2579" s="9">
        <v>46245</v>
      </c>
      <c r="D2579" s="10">
        <v>14373</v>
      </c>
    </row>
    <row r="2580" spans="1:4">
      <c r="A2580" t="s">
        <v>6</v>
      </c>
      <c r="B2580" t="s">
        <v>249</v>
      </c>
      <c r="C2580" s="9">
        <v>46245</v>
      </c>
      <c r="D2580" s="10">
        <v>20340</v>
      </c>
    </row>
    <row r="2581" spans="1:4">
      <c r="A2581" t="s">
        <v>6</v>
      </c>
      <c r="B2581" t="s">
        <v>170</v>
      </c>
      <c r="C2581" s="9">
        <v>46245</v>
      </c>
      <c r="D2581" s="10">
        <v>19572</v>
      </c>
    </row>
    <row r="2582" spans="1:4">
      <c r="A2582" t="s">
        <v>9</v>
      </c>
      <c r="B2582" t="s">
        <v>67</v>
      </c>
      <c r="C2582" s="9">
        <v>46245</v>
      </c>
      <c r="D2582" s="10">
        <v>53220</v>
      </c>
    </row>
    <row r="2583" spans="1:4">
      <c r="A2583" t="s">
        <v>9</v>
      </c>
      <c r="B2583" t="s">
        <v>205</v>
      </c>
      <c r="C2583" s="9">
        <v>46245</v>
      </c>
      <c r="D2583" s="10">
        <v>37844</v>
      </c>
    </row>
    <row r="2584" spans="1:4">
      <c r="A2584" t="s">
        <v>9</v>
      </c>
      <c r="B2584" t="s">
        <v>75</v>
      </c>
      <c r="C2584" s="9">
        <v>46245</v>
      </c>
      <c r="D2584" s="10">
        <v>21171</v>
      </c>
    </row>
    <row r="2585" spans="1:4">
      <c r="A2585" t="s">
        <v>5</v>
      </c>
      <c r="B2585" t="s">
        <v>175</v>
      </c>
      <c r="C2585" s="9">
        <v>46245</v>
      </c>
      <c r="D2585" s="10">
        <v>63960</v>
      </c>
    </row>
    <row r="2586" spans="1:4">
      <c r="A2586" t="s">
        <v>4</v>
      </c>
      <c r="B2586" t="s">
        <v>194</v>
      </c>
      <c r="C2586" s="9">
        <v>46246</v>
      </c>
      <c r="D2586" s="10">
        <v>34951</v>
      </c>
    </row>
    <row r="2587" spans="1:4">
      <c r="A2587" t="s">
        <v>25</v>
      </c>
      <c r="B2587" t="s">
        <v>97</v>
      </c>
      <c r="C2587" s="9">
        <v>46246</v>
      </c>
      <c r="D2587" s="10">
        <v>14784</v>
      </c>
    </row>
    <row r="2588" spans="1:4">
      <c r="A2588" t="s">
        <v>6</v>
      </c>
      <c r="B2588" t="s">
        <v>184</v>
      </c>
      <c r="C2588" s="9">
        <v>46246</v>
      </c>
      <c r="D2588" s="10">
        <v>18441</v>
      </c>
    </row>
    <row r="2589" spans="1:4">
      <c r="A2589" t="s">
        <v>33</v>
      </c>
      <c r="B2589" t="s">
        <v>98</v>
      </c>
      <c r="C2589" s="9">
        <v>46246</v>
      </c>
      <c r="D2589" s="10">
        <v>6410</v>
      </c>
    </row>
    <row r="2590" spans="1:4">
      <c r="A2590" t="s">
        <v>9</v>
      </c>
      <c r="B2590" t="s">
        <v>90</v>
      </c>
      <c r="C2590" s="9">
        <v>46246</v>
      </c>
      <c r="D2590" s="10">
        <v>30649</v>
      </c>
    </row>
    <row r="2591" spans="1:4">
      <c r="A2591" t="s">
        <v>9</v>
      </c>
      <c r="B2591" t="s">
        <v>167</v>
      </c>
      <c r="C2591" s="9">
        <v>46246</v>
      </c>
      <c r="D2591" s="10">
        <v>36343</v>
      </c>
    </row>
    <row r="2592" spans="1:4">
      <c r="A2592" t="s">
        <v>5</v>
      </c>
      <c r="B2592" t="s">
        <v>66</v>
      </c>
      <c r="C2592" s="9">
        <v>46246</v>
      </c>
      <c r="D2592" s="10">
        <v>31341</v>
      </c>
    </row>
    <row r="2593" spans="1:4">
      <c r="A2593" t="s">
        <v>5</v>
      </c>
      <c r="B2593" t="s">
        <v>109</v>
      </c>
      <c r="C2593" s="9">
        <v>46246</v>
      </c>
      <c r="D2593" s="10">
        <v>46880</v>
      </c>
    </row>
    <row r="2594" spans="1:4">
      <c r="A2594" t="s">
        <v>5</v>
      </c>
      <c r="B2594" t="s">
        <v>118</v>
      </c>
      <c r="C2594" s="9">
        <v>46246</v>
      </c>
      <c r="D2594" s="10">
        <v>49725</v>
      </c>
    </row>
    <row r="2595" spans="1:4">
      <c r="A2595" t="s">
        <v>27</v>
      </c>
      <c r="B2595" t="s">
        <v>103</v>
      </c>
      <c r="C2595" s="9">
        <v>46247</v>
      </c>
      <c r="D2595" s="10">
        <v>15112</v>
      </c>
    </row>
    <row r="2596" spans="1:4">
      <c r="A2596" t="s">
        <v>4</v>
      </c>
      <c r="B2596" t="s">
        <v>193</v>
      </c>
      <c r="C2596" s="9">
        <v>46247</v>
      </c>
      <c r="D2596" s="10">
        <v>10205</v>
      </c>
    </row>
    <row r="2597" spans="1:4">
      <c r="A2597" t="s">
        <v>25</v>
      </c>
      <c r="B2597" t="s">
        <v>171</v>
      </c>
      <c r="C2597" s="9">
        <v>46247</v>
      </c>
      <c r="D2597" s="10">
        <v>14439</v>
      </c>
    </row>
    <row r="2598" spans="1:4">
      <c r="A2598" t="s">
        <v>28</v>
      </c>
      <c r="B2598" t="s">
        <v>255</v>
      </c>
      <c r="C2598" s="9">
        <v>46247</v>
      </c>
      <c r="D2598" s="10">
        <v>13806</v>
      </c>
    </row>
    <row r="2599" spans="1:4">
      <c r="A2599" t="s">
        <v>26</v>
      </c>
      <c r="B2599" t="s">
        <v>217</v>
      </c>
      <c r="C2599" s="9">
        <v>46247</v>
      </c>
      <c r="D2599" s="10">
        <v>11158</v>
      </c>
    </row>
    <row r="2600" spans="1:4">
      <c r="A2600" t="s">
        <v>6</v>
      </c>
      <c r="B2600" t="s">
        <v>172</v>
      </c>
      <c r="C2600" s="9">
        <v>46247</v>
      </c>
      <c r="D2600" s="10">
        <v>19788</v>
      </c>
    </row>
    <row r="2601" spans="1:4">
      <c r="A2601" t="s">
        <v>7</v>
      </c>
      <c r="B2601" t="s">
        <v>219</v>
      </c>
      <c r="C2601" s="9">
        <v>46247</v>
      </c>
      <c r="D2601" s="10">
        <v>8504</v>
      </c>
    </row>
    <row r="2602" spans="1:4">
      <c r="A2602" t="s">
        <v>9</v>
      </c>
      <c r="B2602" t="s">
        <v>102</v>
      </c>
      <c r="C2602" s="9">
        <v>46247</v>
      </c>
      <c r="D2602" s="10">
        <v>39955</v>
      </c>
    </row>
    <row r="2603" spans="1:4">
      <c r="A2603" t="s">
        <v>9</v>
      </c>
      <c r="B2603" t="s">
        <v>76</v>
      </c>
      <c r="C2603" s="9">
        <v>46247</v>
      </c>
      <c r="D2603" s="10">
        <v>27201</v>
      </c>
    </row>
    <row r="2604" spans="1:4">
      <c r="A2604" t="s">
        <v>9</v>
      </c>
      <c r="B2604" t="s">
        <v>69</v>
      </c>
      <c r="C2604" s="9">
        <v>46247</v>
      </c>
      <c r="D2604" s="10">
        <v>46841</v>
      </c>
    </row>
    <row r="2605" spans="1:4">
      <c r="A2605" t="s">
        <v>5</v>
      </c>
      <c r="B2605" t="s">
        <v>152</v>
      </c>
      <c r="C2605" s="9">
        <v>46247</v>
      </c>
      <c r="D2605" s="10">
        <v>36954</v>
      </c>
    </row>
    <row r="2606" spans="1:4">
      <c r="A2606" t="s">
        <v>5</v>
      </c>
      <c r="B2606" t="s">
        <v>121</v>
      </c>
      <c r="C2606" s="9">
        <v>46247</v>
      </c>
      <c r="D2606" s="10">
        <v>56194</v>
      </c>
    </row>
    <row r="2607" spans="1:4">
      <c r="A2607" t="s">
        <v>5</v>
      </c>
      <c r="B2607" t="s">
        <v>187</v>
      </c>
      <c r="C2607" s="9">
        <v>46247</v>
      </c>
      <c r="D2607" s="10">
        <v>32426</v>
      </c>
    </row>
    <row r="2608" spans="1:4">
      <c r="A2608" t="s">
        <v>35</v>
      </c>
      <c r="B2608" t="s">
        <v>80</v>
      </c>
      <c r="C2608" s="9">
        <v>46248</v>
      </c>
      <c r="D2608" s="10">
        <v>21919</v>
      </c>
    </row>
    <row r="2609" spans="1:4">
      <c r="A2609" t="s">
        <v>27</v>
      </c>
      <c r="B2609" t="s">
        <v>85</v>
      </c>
      <c r="C2609" s="9">
        <v>46248</v>
      </c>
      <c r="D2609" s="10">
        <v>14404</v>
      </c>
    </row>
    <row r="2610" spans="1:4">
      <c r="A2610" t="s">
        <v>4</v>
      </c>
      <c r="B2610" t="s">
        <v>153</v>
      </c>
      <c r="C2610" s="9">
        <v>46248</v>
      </c>
      <c r="D2610" s="10">
        <v>39397</v>
      </c>
    </row>
    <row r="2611" spans="1:4">
      <c r="A2611" t="s">
        <v>4</v>
      </c>
      <c r="B2611" t="s">
        <v>165</v>
      </c>
      <c r="C2611" s="9">
        <v>46248</v>
      </c>
      <c r="D2611" s="10">
        <v>36858</v>
      </c>
    </row>
    <row r="2612" spans="1:4">
      <c r="A2612" t="s">
        <v>4</v>
      </c>
      <c r="B2612" t="s">
        <v>235</v>
      </c>
      <c r="C2612" s="9">
        <v>46248</v>
      </c>
      <c r="D2612" s="10">
        <v>28166</v>
      </c>
    </row>
    <row r="2613" spans="1:4">
      <c r="A2613" t="s">
        <v>4</v>
      </c>
      <c r="B2613" t="s">
        <v>277</v>
      </c>
      <c r="C2613" s="9">
        <v>46248</v>
      </c>
      <c r="D2613" s="10">
        <v>28876</v>
      </c>
    </row>
    <row r="2614" spans="1:4">
      <c r="A2614" t="s">
        <v>30</v>
      </c>
      <c r="B2614" t="s">
        <v>138</v>
      </c>
      <c r="C2614" s="9">
        <v>46248</v>
      </c>
      <c r="D2614" s="10">
        <v>15634</v>
      </c>
    </row>
    <row r="2615" spans="1:4">
      <c r="A2615" t="s">
        <v>8</v>
      </c>
      <c r="B2615" t="s">
        <v>158</v>
      </c>
      <c r="C2615" s="9">
        <v>46248</v>
      </c>
      <c r="D2615" s="10">
        <v>22114</v>
      </c>
    </row>
    <row r="2616" spans="1:4">
      <c r="A2616" t="s">
        <v>7</v>
      </c>
      <c r="B2616" t="s">
        <v>271</v>
      </c>
      <c r="C2616" s="9">
        <v>46248</v>
      </c>
      <c r="D2616" s="10">
        <v>25589</v>
      </c>
    </row>
    <row r="2617" spans="1:4">
      <c r="A2617" t="s">
        <v>7</v>
      </c>
      <c r="B2617" t="s">
        <v>61</v>
      </c>
      <c r="C2617" s="9">
        <v>46248</v>
      </c>
      <c r="D2617" s="10">
        <v>25207</v>
      </c>
    </row>
    <row r="2618" spans="1:4">
      <c r="A2618" t="s">
        <v>9</v>
      </c>
      <c r="B2618" t="s">
        <v>63</v>
      </c>
      <c r="C2618" s="9">
        <v>46248</v>
      </c>
      <c r="D2618" s="10">
        <v>25637</v>
      </c>
    </row>
    <row r="2619" spans="1:4">
      <c r="A2619" t="s">
        <v>9</v>
      </c>
      <c r="B2619" t="s">
        <v>106</v>
      </c>
      <c r="C2619" s="9">
        <v>46248</v>
      </c>
      <c r="D2619" s="10">
        <v>34988</v>
      </c>
    </row>
    <row r="2620" spans="1:4">
      <c r="A2620" t="s">
        <v>5</v>
      </c>
      <c r="B2620" t="s">
        <v>134</v>
      </c>
      <c r="C2620" s="9">
        <v>46248</v>
      </c>
      <c r="D2620" s="10">
        <v>33550</v>
      </c>
    </row>
    <row r="2621" spans="1:4">
      <c r="A2621" t="s">
        <v>5</v>
      </c>
      <c r="B2621" t="s">
        <v>78</v>
      </c>
      <c r="C2621" s="9">
        <v>46248</v>
      </c>
      <c r="D2621" s="10">
        <v>51975</v>
      </c>
    </row>
    <row r="2622" spans="1:4">
      <c r="A2622" t="s">
        <v>5</v>
      </c>
      <c r="B2622" t="s">
        <v>142</v>
      </c>
      <c r="C2622" s="9">
        <v>46248</v>
      </c>
      <c r="D2622" s="10">
        <v>37300</v>
      </c>
    </row>
    <row r="2623" spans="1:4">
      <c r="A2623" t="s">
        <v>4</v>
      </c>
      <c r="B2623" t="s">
        <v>285</v>
      </c>
      <c r="C2623" s="9">
        <v>46249</v>
      </c>
      <c r="D2623" s="10">
        <v>33127</v>
      </c>
    </row>
    <row r="2624" spans="1:4">
      <c r="A2624" t="s">
        <v>28</v>
      </c>
      <c r="B2624" t="s">
        <v>215</v>
      </c>
      <c r="C2624" s="9">
        <v>46249</v>
      </c>
      <c r="D2624" s="10">
        <v>14214</v>
      </c>
    </row>
    <row r="2625" spans="1:4">
      <c r="A2625" t="s">
        <v>8</v>
      </c>
      <c r="B2625" t="s">
        <v>87</v>
      </c>
      <c r="C2625" s="9">
        <v>46249</v>
      </c>
      <c r="D2625" s="10">
        <v>12920</v>
      </c>
    </row>
    <row r="2626" spans="1:4">
      <c r="A2626" t="s">
        <v>8</v>
      </c>
      <c r="B2626" t="s">
        <v>183</v>
      </c>
      <c r="C2626" s="9">
        <v>46249</v>
      </c>
      <c r="D2626" s="10">
        <v>16419</v>
      </c>
    </row>
    <row r="2627" spans="1:4">
      <c r="A2627" t="s">
        <v>32</v>
      </c>
      <c r="B2627" t="s">
        <v>288</v>
      </c>
      <c r="C2627" s="9">
        <v>46249</v>
      </c>
      <c r="D2627" s="10">
        <v>12220</v>
      </c>
    </row>
    <row r="2628" spans="1:4">
      <c r="A2628" t="s">
        <v>6</v>
      </c>
      <c r="B2628" t="s">
        <v>243</v>
      </c>
      <c r="C2628" s="9">
        <v>46249</v>
      </c>
      <c r="D2628" s="10">
        <v>19081</v>
      </c>
    </row>
    <row r="2629" spans="1:4">
      <c r="A2629" t="s">
        <v>9</v>
      </c>
      <c r="B2629" t="s">
        <v>205</v>
      </c>
      <c r="C2629" s="9">
        <v>46249</v>
      </c>
      <c r="D2629" s="10">
        <v>36945</v>
      </c>
    </row>
    <row r="2630" spans="1:4">
      <c r="A2630" t="s">
        <v>9</v>
      </c>
      <c r="B2630" t="s">
        <v>174</v>
      </c>
      <c r="C2630" s="9">
        <v>46249</v>
      </c>
      <c r="D2630" s="10">
        <v>57215</v>
      </c>
    </row>
    <row r="2631" spans="1:4">
      <c r="A2631" t="s">
        <v>9</v>
      </c>
      <c r="B2631" t="s">
        <v>283</v>
      </c>
      <c r="C2631" s="9">
        <v>46249</v>
      </c>
      <c r="D2631" s="10">
        <v>49300</v>
      </c>
    </row>
    <row r="2632" spans="1:4">
      <c r="A2632" t="s">
        <v>9</v>
      </c>
      <c r="B2632" t="s">
        <v>65</v>
      </c>
      <c r="C2632" s="9">
        <v>46249</v>
      </c>
      <c r="D2632" s="10">
        <v>42719</v>
      </c>
    </row>
    <row r="2633" spans="1:4">
      <c r="A2633" t="s">
        <v>5</v>
      </c>
      <c r="B2633" t="s">
        <v>136</v>
      </c>
      <c r="C2633" s="9">
        <v>46249</v>
      </c>
      <c r="D2633" s="10">
        <v>44373</v>
      </c>
    </row>
    <row r="2634" spans="1:4">
      <c r="A2634" t="s">
        <v>5</v>
      </c>
      <c r="B2634" t="s">
        <v>143</v>
      </c>
      <c r="C2634" s="9">
        <v>46249</v>
      </c>
      <c r="D2634" s="10">
        <v>36066</v>
      </c>
    </row>
    <row r="2635" spans="1:4">
      <c r="A2635" t="s">
        <v>5</v>
      </c>
      <c r="B2635" t="s">
        <v>210</v>
      </c>
      <c r="C2635" s="9">
        <v>46249</v>
      </c>
      <c r="D2635" s="10">
        <v>39375</v>
      </c>
    </row>
    <row r="2636" spans="1:4">
      <c r="A2636" t="s">
        <v>8</v>
      </c>
      <c r="B2636" t="s">
        <v>181</v>
      </c>
      <c r="C2636" s="9">
        <v>46250</v>
      </c>
      <c r="D2636" s="10">
        <v>10753</v>
      </c>
    </row>
    <row r="2637" spans="1:4">
      <c r="A2637" t="s">
        <v>8</v>
      </c>
      <c r="B2637" t="s">
        <v>253</v>
      </c>
      <c r="C2637" s="9">
        <v>46250</v>
      </c>
      <c r="D2637" s="10">
        <v>18655</v>
      </c>
    </row>
    <row r="2638" spans="1:4">
      <c r="A2638" t="s">
        <v>6</v>
      </c>
      <c r="B2638" t="s">
        <v>208</v>
      </c>
      <c r="C2638" s="9">
        <v>46250</v>
      </c>
      <c r="D2638" s="10">
        <v>22646</v>
      </c>
    </row>
    <row r="2639" spans="1:4">
      <c r="A2639" t="s">
        <v>6</v>
      </c>
      <c r="B2639" t="s">
        <v>256</v>
      </c>
      <c r="C2639" s="9">
        <v>46250</v>
      </c>
      <c r="D2639" s="10">
        <v>33952</v>
      </c>
    </row>
    <row r="2640" spans="1:4">
      <c r="A2640" t="s">
        <v>33</v>
      </c>
      <c r="B2640" t="s">
        <v>83</v>
      </c>
      <c r="C2640" s="9">
        <v>46250</v>
      </c>
      <c r="D2640" s="10">
        <v>5200</v>
      </c>
    </row>
    <row r="2641" spans="1:4">
      <c r="A2641" t="s">
        <v>29</v>
      </c>
      <c r="B2641" t="s">
        <v>254</v>
      </c>
      <c r="C2641" s="9">
        <v>46250</v>
      </c>
      <c r="D2641" s="10">
        <v>12224</v>
      </c>
    </row>
    <row r="2642" spans="1:4">
      <c r="A2642" t="s">
        <v>9</v>
      </c>
      <c r="B2642" t="s">
        <v>57</v>
      </c>
      <c r="C2642" s="9">
        <v>46250</v>
      </c>
      <c r="D2642" s="10">
        <v>46962</v>
      </c>
    </row>
    <row r="2643" spans="1:4">
      <c r="A2643" t="s">
        <v>9</v>
      </c>
      <c r="B2643" t="s">
        <v>291</v>
      </c>
      <c r="C2643" s="9">
        <v>46250</v>
      </c>
      <c r="D2643" s="10">
        <v>23013</v>
      </c>
    </row>
    <row r="2644" spans="1:4">
      <c r="A2644" t="s">
        <v>9</v>
      </c>
      <c r="B2644" t="s">
        <v>167</v>
      </c>
      <c r="C2644" s="9">
        <v>46250</v>
      </c>
      <c r="D2644" s="10">
        <v>31741</v>
      </c>
    </row>
    <row r="2645" spans="1:4">
      <c r="A2645" t="s">
        <v>9</v>
      </c>
      <c r="B2645" t="s">
        <v>197</v>
      </c>
      <c r="C2645" s="9">
        <v>46250</v>
      </c>
      <c r="D2645" s="10">
        <v>31299</v>
      </c>
    </row>
    <row r="2646" spans="1:4">
      <c r="A2646" t="s">
        <v>5</v>
      </c>
      <c r="B2646" t="s">
        <v>116</v>
      </c>
      <c r="C2646" s="9">
        <v>46250</v>
      </c>
      <c r="D2646" s="10">
        <v>48055</v>
      </c>
    </row>
    <row r="2647" spans="1:4">
      <c r="A2647" t="s">
        <v>5</v>
      </c>
      <c r="B2647" t="s">
        <v>135</v>
      </c>
      <c r="C2647" s="9">
        <v>46250</v>
      </c>
      <c r="D2647" s="10">
        <v>36151</v>
      </c>
    </row>
    <row r="2648" spans="1:4">
      <c r="A2648" t="s">
        <v>5</v>
      </c>
      <c r="B2648" t="s">
        <v>272</v>
      </c>
      <c r="C2648" s="9">
        <v>46250</v>
      </c>
      <c r="D2648" s="10">
        <v>31718</v>
      </c>
    </row>
    <row r="2649" spans="1:4">
      <c r="A2649" t="s">
        <v>5</v>
      </c>
      <c r="B2649" t="s">
        <v>143</v>
      </c>
      <c r="C2649" s="9">
        <v>46250</v>
      </c>
      <c r="D2649" s="10">
        <v>48262</v>
      </c>
    </row>
    <row r="2650" spans="1:4">
      <c r="A2650" t="s">
        <v>5</v>
      </c>
      <c r="B2650" t="s">
        <v>68</v>
      </c>
      <c r="C2650" s="9">
        <v>46250</v>
      </c>
      <c r="D2650" s="10">
        <v>42647</v>
      </c>
    </row>
    <row r="2651" spans="1:4">
      <c r="A2651" t="s">
        <v>5</v>
      </c>
      <c r="B2651" t="s">
        <v>68</v>
      </c>
      <c r="C2651" s="9">
        <v>46250</v>
      </c>
      <c r="D2651" s="10">
        <v>41124</v>
      </c>
    </row>
    <row r="2652" spans="1:4">
      <c r="A2652" t="s">
        <v>38</v>
      </c>
      <c r="B2652" t="s">
        <v>58</v>
      </c>
      <c r="C2652" s="9">
        <v>46251</v>
      </c>
      <c r="D2652" s="10">
        <v>12296</v>
      </c>
    </row>
    <row r="2653" spans="1:4">
      <c r="A2653" t="s">
        <v>4</v>
      </c>
      <c r="B2653" t="s">
        <v>213</v>
      </c>
      <c r="C2653" s="9">
        <v>46251</v>
      </c>
      <c r="D2653" s="10">
        <v>40934</v>
      </c>
    </row>
    <row r="2654" spans="1:4">
      <c r="A2654" t="s">
        <v>4</v>
      </c>
      <c r="B2654" t="s">
        <v>146</v>
      </c>
      <c r="C2654" s="9">
        <v>46251</v>
      </c>
      <c r="D2654" s="10">
        <v>23611</v>
      </c>
    </row>
    <row r="2655" spans="1:4">
      <c r="A2655" t="s">
        <v>9</v>
      </c>
      <c r="B2655" t="s">
        <v>115</v>
      </c>
      <c r="C2655" s="9">
        <v>46251</v>
      </c>
      <c r="D2655" s="10">
        <v>28578</v>
      </c>
    </row>
    <row r="2656" spans="1:4">
      <c r="A2656" t="s">
        <v>9</v>
      </c>
      <c r="B2656" t="s">
        <v>115</v>
      </c>
      <c r="C2656" s="9">
        <v>46251</v>
      </c>
      <c r="D2656" s="10">
        <v>32221</v>
      </c>
    </row>
    <row r="2657" spans="1:4">
      <c r="A2657" t="s">
        <v>5</v>
      </c>
      <c r="B2657" t="s">
        <v>258</v>
      </c>
      <c r="C2657" s="9">
        <v>46251</v>
      </c>
      <c r="D2657" s="10">
        <v>42094</v>
      </c>
    </row>
    <row r="2658" spans="1:4">
      <c r="A2658" t="s">
        <v>5</v>
      </c>
      <c r="B2658" t="s">
        <v>177</v>
      </c>
      <c r="C2658" s="9">
        <v>46251</v>
      </c>
      <c r="D2658" s="10">
        <v>46180</v>
      </c>
    </row>
    <row r="2659" spans="1:4">
      <c r="A2659" t="s">
        <v>5</v>
      </c>
      <c r="B2659" t="s">
        <v>179</v>
      </c>
      <c r="C2659" s="9">
        <v>46251</v>
      </c>
      <c r="D2659" s="10">
        <v>49904</v>
      </c>
    </row>
    <row r="2660" spans="1:4">
      <c r="A2660" t="s">
        <v>27</v>
      </c>
      <c r="B2660" t="s">
        <v>247</v>
      </c>
      <c r="C2660" s="9">
        <v>46252</v>
      </c>
      <c r="D2660" s="10">
        <v>12248</v>
      </c>
    </row>
    <row r="2661" spans="1:4">
      <c r="A2661" t="s">
        <v>4</v>
      </c>
      <c r="B2661" t="s">
        <v>72</v>
      </c>
      <c r="C2661" s="9">
        <v>46252</v>
      </c>
      <c r="D2661" s="10">
        <v>23404</v>
      </c>
    </row>
    <row r="2662" spans="1:4">
      <c r="A2662" t="s">
        <v>4</v>
      </c>
      <c r="B2662" t="s">
        <v>74</v>
      </c>
      <c r="C2662" s="9">
        <v>46252</v>
      </c>
      <c r="D2662" s="10">
        <v>20072</v>
      </c>
    </row>
    <row r="2663" spans="1:4">
      <c r="A2663" t="s">
        <v>30</v>
      </c>
      <c r="B2663" t="s">
        <v>202</v>
      </c>
      <c r="C2663" s="9">
        <v>46252</v>
      </c>
      <c r="D2663" s="10">
        <v>10306</v>
      </c>
    </row>
    <row r="2664" spans="1:4">
      <c r="A2664" t="s">
        <v>8</v>
      </c>
      <c r="B2664" t="s">
        <v>120</v>
      </c>
      <c r="C2664" s="9">
        <v>46252</v>
      </c>
      <c r="D2664" s="10">
        <v>28516</v>
      </c>
    </row>
    <row r="2665" spans="1:4">
      <c r="A2665" t="s">
        <v>6</v>
      </c>
      <c r="B2665" t="s">
        <v>241</v>
      </c>
      <c r="C2665" s="9">
        <v>46252</v>
      </c>
      <c r="D2665" s="10">
        <v>27098</v>
      </c>
    </row>
    <row r="2666" spans="1:4">
      <c r="A2666" t="s">
        <v>7</v>
      </c>
      <c r="B2666" t="s">
        <v>220</v>
      </c>
      <c r="C2666" s="9">
        <v>46252</v>
      </c>
      <c r="D2666" s="10">
        <v>27015</v>
      </c>
    </row>
    <row r="2667" spans="1:4">
      <c r="A2667" t="s">
        <v>5</v>
      </c>
      <c r="B2667" t="s">
        <v>121</v>
      </c>
      <c r="C2667" s="9">
        <v>46252</v>
      </c>
      <c r="D2667" s="10">
        <v>43148</v>
      </c>
    </row>
    <row r="2668" spans="1:4">
      <c r="A2668" t="s">
        <v>5</v>
      </c>
      <c r="B2668" t="s">
        <v>69</v>
      </c>
      <c r="C2668" s="9">
        <v>46252</v>
      </c>
      <c r="D2668" s="10">
        <v>52257</v>
      </c>
    </row>
    <row r="2669" spans="1:4">
      <c r="A2669" t="s">
        <v>4</v>
      </c>
      <c r="B2669" t="s">
        <v>125</v>
      </c>
      <c r="C2669" s="9">
        <v>46253</v>
      </c>
      <c r="D2669" s="10">
        <v>33922</v>
      </c>
    </row>
    <row r="2670" spans="1:4">
      <c r="A2670" t="s">
        <v>28</v>
      </c>
      <c r="B2670" t="s">
        <v>289</v>
      </c>
      <c r="C2670" s="9">
        <v>46253</v>
      </c>
      <c r="D2670" s="10">
        <v>12166</v>
      </c>
    </row>
    <row r="2671" spans="1:4">
      <c r="A2671" t="s">
        <v>6</v>
      </c>
      <c r="B2671" t="s">
        <v>239</v>
      </c>
      <c r="C2671" s="9">
        <v>46253</v>
      </c>
      <c r="D2671" s="10">
        <v>34205</v>
      </c>
    </row>
    <row r="2672" spans="1:4">
      <c r="A2672" t="s">
        <v>6</v>
      </c>
      <c r="B2672" t="s">
        <v>105</v>
      </c>
      <c r="C2672" s="9">
        <v>46253</v>
      </c>
      <c r="D2672" s="10">
        <v>14252</v>
      </c>
    </row>
    <row r="2673" spans="1:4">
      <c r="A2673" t="s">
        <v>9</v>
      </c>
      <c r="B2673" t="s">
        <v>90</v>
      </c>
      <c r="C2673" s="9">
        <v>46253</v>
      </c>
      <c r="D2673" s="10">
        <v>23701</v>
      </c>
    </row>
    <row r="2674" spans="1:4">
      <c r="A2674" t="s">
        <v>9</v>
      </c>
      <c r="B2674" t="s">
        <v>109</v>
      </c>
      <c r="C2674" s="9">
        <v>46253</v>
      </c>
      <c r="D2674" s="10">
        <v>38349</v>
      </c>
    </row>
    <row r="2675" spans="1:4">
      <c r="A2675" t="s">
        <v>9</v>
      </c>
      <c r="B2675" t="s">
        <v>133</v>
      </c>
      <c r="C2675" s="9">
        <v>46253</v>
      </c>
      <c r="D2675" s="10">
        <v>32375</v>
      </c>
    </row>
    <row r="2676" spans="1:4">
      <c r="A2676" t="s">
        <v>5</v>
      </c>
      <c r="B2676" t="s">
        <v>116</v>
      </c>
      <c r="C2676" s="9">
        <v>46253</v>
      </c>
      <c r="D2676" s="10">
        <v>32971</v>
      </c>
    </row>
    <row r="2677" spans="1:4">
      <c r="A2677" t="s">
        <v>5</v>
      </c>
      <c r="B2677" t="s">
        <v>230</v>
      </c>
      <c r="C2677" s="9">
        <v>46253</v>
      </c>
      <c r="D2677" s="10">
        <v>40507</v>
      </c>
    </row>
    <row r="2678" spans="1:4">
      <c r="A2678" t="s">
        <v>5</v>
      </c>
      <c r="B2678" t="s">
        <v>95</v>
      </c>
      <c r="C2678" s="9">
        <v>46253</v>
      </c>
      <c r="D2678" s="10">
        <v>45671</v>
      </c>
    </row>
    <row r="2679" spans="1:4">
      <c r="A2679" t="s">
        <v>4</v>
      </c>
      <c r="B2679" t="s">
        <v>207</v>
      </c>
      <c r="C2679" s="9">
        <v>46254</v>
      </c>
      <c r="D2679" s="10">
        <v>32361</v>
      </c>
    </row>
    <row r="2680" spans="1:4">
      <c r="A2680" t="s">
        <v>4</v>
      </c>
      <c r="B2680" t="s">
        <v>188</v>
      </c>
      <c r="C2680" s="9">
        <v>46254</v>
      </c>
      <c r="D2680" s="10">
        <v>9622</v>
      </c>
    </row>
    <row r="2681" spans="1:4">
      <c r="A2681" t="s">
        <v>31</v>
      </c>
      <c r="B2681" t="s">
        <v>236</v>
      </c>
      <c r="C2681" s="9">
        <v>46254</v>
      </c>
      <c r="D2681" s="10">
        <v>5200</v>
      </c>
    </row>
    <row r="2682" spans="1:4">
      <c r="A2682" t="s">
        <v>8</v>
      </c>
      <c r="B2682" t="s">
        <v>182</v>
      </c>
      <c r="C2682" s="9">
        <v>46254</v>
      </c>
      <c r="D2682" s="10">
        <v>28482</v>
      </c>
    </row>
    <row r="2683" spans="1:4">
      <c r="A2683" t="s">
        <v>7</v>
      </c>
      <c r="B2683" t="s">
        <v>129</v>
      </c>
      <c r="C2683" s="9">
        <v>46254</v>
      </c>
      <c r="D2683" s="10">
        <v>20868</v>
      </c>
    </row>
    <row r="2684" spans="1:4">
      <c r="A2684" t="s">
        <v>9</v>
      </c>
      <c r="B2684" t="s">
        <v>167</v>
      </c>
      <c r="C2684" s="9">
        <v>46254</v>
      </c>
      <c r="D2684" s="10">
        <v>33828</v>
      </c>
    </row>
    <row r="2685" spans="1:4">
      <c r="A2685" t="s">
        <v>5</v>
      </c>
      <c r="B2685" t="s">
        <v>93</v>
      </c>
      <c r="C2685" s="9">
        <v>46254</v>
      </c>
      <c r="D2685" s="10">
        <v>47582</v>
      </c>
    </row>
    <row r="2686" spans="1:4">
      <c r="A2686" t="s">
        <v>5</v>
      </c>
      <c r="B2686" t="s">
        <v>198</v>
      </c>
      <c r="C2686" s="9">
        <v>46254</v>
      </c>
      <c r="D2686" s="10">
        <v>40889</v>
      </c>
    </row>
    <row r="2687" spans="1:4">
      <c r="A2687" t="s">
        <v>5</v>
      </c>
      <c r="B2687" t="s">
        <v>258</v>
      </c>
      <c r="C2687" s="9">
        <v>46254</v>
      </c>
      <c r="D2687" s="10">
        <v>38132</v>
      </c>
    </row>
    <row r="2688" spans="1:4">
      <c r="A2688" t="s">
        <v>5</v>
      </c>
      <c r="B2688" t="s">
        <v>70</v>
      </c>
      <c r="C2688" s="9">
        <v>46254</v>
      </c>
      <c r="D2688" s="10">
        <v>32228</v>
      </c>
    </row>
    <row r="2689" spans="1:4">
      <c r="A2689" t="s">
        <v>5</v>
      </c>
      <c r="B2689" t="s">
        <v>71</v>
      </c>
      <c r="C2689" s="9">
        <v>46254</v>
      </c>
      <c r="D2689" s="10">
        <v>30524</v>
      </c>
    </row>
    <row r="2690" spans="1:4">
      <c r="A2690" t="s">
        <v>27</v>
      </c>
      <c r="B2690" t="s">
        <v>273</v>
      </c>
      <c r="C2690" s="9">
        <v>46255</v>
      </c>
      <c r="D2690" s="10">
        <v>12554</v>
      </c>
    </row>
    <row r="2691" spans="1:4">
      <c r="A2691" t="s">
        <v>25</v>
      </c>
      <c r="B2691" t="s">
        <v>147</v>
      </c>
      <c r="C2691" s="9">
        <v>46255</v>
      </c>
      <c r="D2691" s="10">
        <v>14750</v>
      </c>
    </row>
    <row r="2692" spans="1:4">
      <c r="A2692" t="s">
        <v>25</v>
      </c>
      <c r="B2692" t="s">
        <v>126</v>
      </c>
      <c r="C2692" s="9">
        <v>46255</v>
      </c>
      <c r="D2692" s="10">
        <v>13752</v>
      </c>
    </row>
    <row r="2693" spans="1:4">
      <c r="A2693" t="s">
        <v>8</v>
      </c>
      <c r="B2693" t="s">
        <v>139</v>
      </c>
      <c r="C2693" s="9">
        <v>46255</v>
      </c>
      <c r="D2693" s="10">
        <v>16178</v>
      </c>
    </row>
    <row r="2694" spans="1:4">
      <c r="A2694" t="s">
        <v>32</v>
      </c>
      <c r="B2694" t="s">
        <v>269</v>
      </c>
      <c r="C2694" s="9">
        <v>46255</v>
      </c>
      <c r="D2694" s="10">
        <v>10938</v>
      </c>
    </row>
    <row r="2695" spans="1:4">
      <c r="A2695" t="s">
        <v>6</v>
      </c>
      <c r="B2695" t="s">
        <v>113</v>
      </c>
      <c r="C2695" s="9">
        <v>46255</v>
      </c>
      <c r="D2695" s="10">
        <v>18317</v>
      </c>
    </row>
    <row r="2696" spans="1:4">
      <c r="A2696" t="s">
        <v>9</v>
      </c>
      <c r="B2696" t="s">
        <v>222</v>
      </c>
      <c r="C2696" s="9">
        <v>46255</v>
      </c>
      <c r="D2696" s="10">
        <v>43168</v>
      </c>
    </row>
    <row r="2697" spans="1:4">
      <c r="A2697" t="s">
        <v>9</v>
      </c>
      <c r="B2697" t="s">
        <v>81</v>
      </c>
      <c r="C2697" s="9">
        <v>46255</v>
      </c>
      <c r="D2697" s="10">
        <v>26851</v>
      </c>
    </row>
    <row r="2698" spans="1:4">
      <c r="A2698" t="s">
        <v>5</v>
      </c>
      <c r="B2698" t="s">
        <v>67</v>
      </c>
      <c r="C2698" s="9">
        <v>46255</v>
      </c>
      <c r="D2698" s="10">
        <v>52131</v>
      </c>
    </row>
    <row r="2699" spans="1:4">
      <c r="A2699" t="s">
        <v>5</v>
      </c>
      <c r="B2699" t="s">
        <v>93</v>
      </c>
      <c r="C2699" s="9">
        <v>46255</v>
      </c>
      <c r="D2699" s="10">
        <v>30481</v>
      </c>
    </row>
    <row r="2700" spans="1:4">
      <c r="A2700" t="s">
        <v>5</v>
      </c>
      <c r="B2700" t="s">
        <v>187</v>
      </c>
      <c r="C2700" s="9">
        <v>46255</v>
      </c>
      <c r="D2700" s="10">
        <v>38130</v>
      </c>
    </row>
    <row r="2701" spans="1:4">
      <c r="A2701" t="s">
        <v>5</v>
      </c>
      <c r="B2701" t="s">
        <v>69</v>
      </c>
      <c r="C2701" s="9">
        <v>46255</v>
      </c>
      <c r="D2701" s="10">
        <v>53573</v>
      </c>
    </row>
    <row r="2702" spans="1:4">
      <c r="A2702" t="s">
        <v>25</v>
      </c>
      <c r="B2702" t="s">
        <v>242</v>
      </c>
      <c r="C2702" s="9">
        <v>46256</v>
      </c>
      <c r="D2702" s="10">
        <v>10677</v>
      </c>
    </row>
    <row r="2703" spans="1:4">
      <c r="A2703" t="s">
        <v>29</v>
      </c>
      <c r="B2703" t="s">
        <v>281</v>
      </c>
      <c r="C2703" s="9">
        <v>46256</v>
      </c>
      <c r="D2703" s="10">
        <v>5200</v>
      </c>
    </row>
    <row r="2704" spans="1:4">
      <c r="A2704" t="s">
        <v>7</v>
      </c>
      <c r="B2704" t="s">
        <v>264</v>
      </c>
      <c r="C2704" s="9">
        <v>46256</v>
      </c>
      <c r="D2704" s="10">
        <v>18323</v>
      </c>
    </row>
    <row r="2705" spans="1:4">
      <c r="A2705" t="s">
        <v>7</v>
      </c>
      <c r="B2705" t="s">
        <v>221</v>
      </c>
      <c r="C2705" s="9">
        <v>46256</v>
      </c>
      <c r="D2705" s="10">
        <v>6661</v>
      </c>
    </row>
    <row r="2706" spans="1:4">
      <c r="A2706" t="s">
        <v>5</v>
      </c>
      <c r="B2706" t="s">
        <v>224</v>
      </c>
      <c r="C2706" s="9">
        <v>46256</v>
      </c>
      <c r="D2706" s="10">
        <v>48150</v>
      </c>
    </row>
    <row r="2707" spans="1:4">
      <c r="A2707" t="s">
        <v>5</v>
      </c>
      <c r="B2707" t="s">
        <v>168</v>
      </c>
      <c r="C2707" s="9">
        <v>46256</v>
      </c>
      <c r="D2707" s="10">
        <v>40081</v>
      </c>
    </row>
    <row r="2708" spans="1:4">
      <c r="A2708" t="s">
        <v>5</v>
      </c>
      <c r="B2708" t="s">
        <v>122</v>
      </c>
      <c r="C2708" s="9">
        <v>46256</v>
      </c>
      <c r="D2708" s="10">
        <v>48040</v>
      </c>
    </row>
    <row r="2709" spans="1:4">
      <c r="A2709" t="s">
        <v>5</v>
      </c>
      <c r="B2709" t="s">
        <v>210</v>
      </c>
      <c r="C2709" s="9">
        <v>46256</v>
      </c>
      <c r="D2709" s="10">
        <v>34667</v>
      </c>
    </row>
    <row r="2710" spans="1:4">
      <c r="A2710" t="s">
        <v>27</v>
      </c>
      <c r="B2710" t="s">
        <v>200</v>
      </c>
      <c r="C2710" s="9">
        <v>46257</v>
      </c>
      <c r="D2710" s="10">
        <v>11185</v>
      </c>
    </row>
    <row r="2711" spans="1:4">
      <c r="A2711" t="s">
        <v>4</v>
      </c>
      <c r="B2711" t="s">
        <v>119</v>
      </c>
      <c r="C2711" s="9">
        <v>46257</v>
      </c>
      <c r="D2711" s="10">
        <v>29955</v>
      </c>
    </row>
    <row r="2712" spans="1:4">
      <c r="A2712" t="s">
        <v>6</v>
      </c>
      <c r="B2712" t="s">
        <v>262</v>
      </c>
      <c r="C2712" s="9">
        <v>46257</v>
      </c>
      <c r="D2712" s="10">
        <v>21659</v>
      </c>
    </row>
    <row r="2713" spans="1:4">
      <c r="A2713" t="s">
        <v>6</v>
      </c>
      <c r="B2713" t="s">
        <v>270</v>
      </c>
      <c r="C2713" s="9">
        <v>46257</v>
      </c>
      <c r="D2713" s="10">
        <v>37748</v>
      </c>
    </row>
    <row r="2714" spans="1:4">
      <c r="A2714" t="s">
        <v>33</v>
      </c>
      <c r="B2714" t="s">
        <v>244</v>
      </c>
      <c r="C2714" s="9">
        <v>46257</v>
      </c>
      <c r="D2714" s="10">
        <v>12295</v>
      </c>
    </row>
    <row r="2715" spans="1:4">
      <c r="A2715" t="s">
        <v>9</v>
      </c>
      <c r="B2715" t="s">
        <v>91</v>
      </c>
      <c r="C2715" s="9">
        <v>46257</v>
      </c>
      <c r="D2715" s="10">
        <v>39654</v>
      </c>
    </row>
    <row r="2716" spans="1:4">
      <c r="A2716" t="s">
        <v>9</v>
      </c>
      <c r="B2716" t="s">
        <v>132</v>
      </c>
      <c r="C2716" s="9">
        <v>46257</v>
      </c>
      <c r="D2716" s="10">
        <v>33368</v>
      </c>
    </row>
    <row r="2717" spans="1:4">
      <c r="A2717" t="s">
        <v>5</v>
      </c>
      <c r="B2717" t="s">
        <v>135</v>
      </c>
      <c r="C2717" s="9">
        <v>46257</v>
      </c>
      <c r="D2717" s="10">
        <v>29206</v>
      </c>
    </row>
    <row r="2718" spans="1:4">
      <c r="A2718" t="s">
        <v>5</v>
      </c>
      <c r="B2718" t="s">
        <v>168</v>
      </c>
      <c r="C2718" s="9">
        <v>46257</v>
      </c>
      <c r="D2718" s="10">
        <v>31938</v>
      </c>
    </row>
    <row r="2719" spans="1:4">
      <c r="A2719" t="s">
        <v>5</v>
      </c>
      <c r="B2719" t="s">
        <v>168</v>
      </c>
      <c r="C2719" s="9">
        <v>46257</v>
      </c>
      <c r="D2719" s="10">
        <v>31773</v>
      </c>
    </row>
    <row r="2720" spans="1:4">
      <c r="A2720" t="s">
        <v>4</v>
      </c>
      <c r="B2720" t="s">
        <v>234</v>
      </c>
      <c r="C2720" s="9">
        <v>46258</v>
      </c>
      <c r="D2720" s="10">
        <v>12125</v>
      </c>
    </row>
    <row r="2721" spans="1:4">
      <c r="A2721" t="s">
        <v>25</v>
      </c>
      <c r="B2721" t="s">
        <v>201</v>
      </c>
      <c r="C2721" s="9">
        <v>46258</v>
      </c>
      <c r="D2721" s="10">
        <v>13182</v>
      </c>
    </row>
    <row r="2722" spans="1:4">
      <c r="A2722" t="s">
        <v>28</v>
      </c>
      <c r="B2722" t="s">
        <v>127</v>
      </c>
      <c r="C2722" s="9">
        <v>46258</v>
      </c>
      <c r="D2722" s="10">
        <v>13629</v>
      </c>
    </row>
    <row r="2723" spans="1:4">
      <c r="A2723" t="s">
        <v>28</v>
      </c>
      <c r="B2723" t="s">
        <v>237</v>
      </c>
      <c r="C2723" s="9">
        <v>46258</v>
      </c>
      <c r="D2723" s="10">
        <v>5200</v>
      </c>
    </row>
    <row r="2724" spans="1:4">
      <c r="A2724" t="s">
        <v>28</v>
      </c>
      <c r="B2724" t="s">
        <v>144</v>
      </c>
      <c r="C2724" s="9">
        <v>46258</v>
      </c>
      <c r="D2724" s="10">
        <v>12715</v>
      </c>
    </row>
    <row r="2725" spans="1:4">
      <c r="A2725" t="s">
        <v>28</v>
      </c>
      <c r="B2725" t="s">
        <v>148</v>
      </c>
      <c r="C2725" s="9">
        <v>46258</v>
      </c>
      <c r="D2725" s="10">
        <v>7594</v>
      </c>
    </row>
    <row r="2726" spans="1:4">
      <c r="A2726" t="s">
        <v>26</v>
      </c>
      <c r="B2726" t="s">
        <v>73</v>
      </c>
      <c r="C2726" s="9">
        <v>46258</v>
      </c>
      <c r="D2726" s="10">
        <v>25922</v>
      </c>
    </row>
    <row r="2727" spans="1:4">
      <c r="A2727" t="s">
        <v>26</v>
      </c>
      <c r="B2727" t="s">
        <v>189</v>
      </c>
      <c r="C2727" s="9">
        <v>46258</v>
      </c>
      <c r="D2727" s="10">
        <v>9189</v>
      </c>
    </row>
    <row r="2728" spans="1:4">
      <c r="A2728" t="s">
        <v>7</v>
      </c>
      <c r="B2728" t="s">
        <v>162</v>
      </c>
      <c r="C2728" s="9">
        <v>46258</v>
      </c>
      <c r="D2728" s="10">
        <v>25143</v>
      </c>
    </row>
    <row r="2729" spans="1:4">
      <c r="A2729" t="s">
        <v>9</v>
      </c>
      <c r="B2729" t="s">
        <v>81</v>
      </c>
      <c r="C2729" s="9">
        <v>46258</v>
      </c>
      <c r="D2729" s="10">
        <v>39180</v>
      </c>
    </row>
    <row r="2730" spans="1:4">
      <c r="A2730" t="s">
        <v>27</v>
      </c>
      <c r="B2730" t="s">
        <v>185</v>
      </c>
      <c r="C2730" s="9">
        <v>46259</v>
      </c>
      <c r="D2730" s="10">
        <v>13862</v>
      </c>
    </row>
    <row r="2731" spans="1:4">
      <c r="A2731" t="s">
        <v>4</v>
      </c>
      <c r="B2731" t="s">
        <v>104</v>
      </c>
      <c r="C2731" s="9">
        <v>46259</v>
      </c>
      <c r="D2731" s="10">
        <v>32118</v>
      </c>
    </row>
    <row r="2732" spans="1:4">
      <c r="A2732" t="s">
        <v>26</v>
      </c>
      <c r="B2732" t="s">
        <v>84</v>
      </c>
      <c r="C2732" s="9">
        <v>46259</v>
      </c>
      <c r="D2732" s="10">
        <v>13358</v>
      </c>
    </row>
    <row r="2733" spans="1:4">
      <c r="A2733" t="s">
        <v>32</v>
      </c>
      <c r="B2733" t="s">
        <v>89</v>
      </c>
      <c r="C2733" s="9">
        <v>46259</v>
      </c>
      <c r="D2733" s="10">
        <v>14858</v>
      </c>
    </row>
    <row r="2734" spans="1:4">
      <c r="A2734" t="s">
        <v>6</v>
      </c>
      <c r="B2734" t="s">
        <v>274</v>
      </c>
      <c r="C2734" s="9">
        <v>46259</v>
      </c>
      <c r="D2734" s="10">
        <v>15158</v>
      </c>
    </row>
    <row r="2735" spans="1:4">
      <c r="A2735" t="s">
        <v>9</v>
      </c>
      <c r="B2735" t="s">
        <v>92</v>
      </c>
      <c r="C2735" s="9">
        <v>46259</v>
      </c>
      <c r="D2735" s="10">
        <v>49228</v>
      </c>
    </row>
    <row r="2736" spans="1:4">
      <c r="A2736" t="s">
        <v>9</v>
      </c>
      <c r="B2736" t="s">
        <v>266</v>
      </c>
      <c r="C2736" s="9">
        <v>46259</v>
      </c>
      <c r="D2736" s="10">
        <v>8573</v>
      </c>
    </row>
    <row r="2737" spans="1:4">
      <c r="A2737" t="s">
        <v>9</v>
      </c>
      <c r="B2737" t="s">
        <v>206</v>
      </c>
      <c r="C2737" s="9">
        <v>46259</v>
      </c>
      <c r="D2737" s="10">
        <v>37997</v>
      </c>
    </row>
    <row r="2738" spans="1:4">
      <c r="A2738" t="s">
        <v>5</v>
      </c>
      <c r="B2738" t="s">
        <v>107</v>
      </c>
      <c r="C2738" s="9">
        <v>46259</v>
      </c>
      <c r="D2738" s="10">
        <v>37960</v>
      </c>
    </row>
    <row r="2739" spans="1:4">
      <c r="A2739" t="s">
        <v>5</v>
      </c>
      <c r="B2739" t="s">
        <v>142</v>
      </c>
      <c r="C2739" s="9">
        <v>46259</v>
      </c>
      <c r="D2739" s="10">
        <v>40455</v>
      </c>
    </row>
    <row r="2740" spans="1:4">
      <c r="A2740" t="s">
        <v>5</v>
      </c>
      <c r="B2740" t="s">
        <v>169</v>
      </c>
      <c r="C2740" s="9">
        <v>46259</v>
      </c>
      <c r="D2740" s="10">
        <v>47538</v>
      </c>
    </row>
    <row r="2741" spans="1:4">
      <c r="A2741" t="s">
        <v>4</v>
      </c>
      <c r="B2741" t="s">
        <v>239</v>
      </c>
      <c r="C2741" s="9">
        <v>46260</v>
      </c>
      <c r="D2741" s="10">
        <v>30210</v>
      </c>
    </row>
    <row r="2742" spans="1:4">
      <c r="A2742" t="s">
        <v>4</v>
      </c>
      <c r="B2742" t="s">
        <v>230</v>
      </c>
      <c r="C2742" s="9">
        <v>46260</v>
      </c>
      <c r="D2742" s="10">
        <v>48666</v>
      </c>
    </row>
    <row r="2743" spans="1:4">
      <c r="A2743" t="s">
        <v>8</v>
      </c>
      <c r="B2743" t="s">
        <v>159</v>
      </c>
      <c r="C2743" s="9">
        <v>46260</v>
      </c>
      <c r="D2743" s="10">
        <v>14816</v>
      </c>
    </row>
    <row r="2744" spans="1:4">
      <c r="A2744" t="s">
        <v>7</v>
      </c>
      <c r="B2744" t="s">
        <v>100</v>
      </c>
      <c r="C2744" s="9">
        <v>46260</v>
      </c>
      <c r="D2744" s="10">
        <v>23079</v>
      </c>
    </row>
    <row r="2745" spans="1:4">
      <c r="A2745" t="s">
        <v>9</v>
      </c>
      <c r="B2745" t="s">
        <v>268</v>
      </c>
      <c r="C2745" s="9">
        <v>46260</v>
      </c>
      <c r="D2745" s="10">
        <v>27063</v>
      </c>
    </row>
    <row r="2746" spans="1:4">
      <c r="A2746" t="s">
        <v>9</v>
      </c>
      <c r="B2746" t="s">
        <v>259</v>
      </c>
      <c r="C2746" s="9">
        <v>46260</v>
      </c>
      <c r="D2746" s="10">
        <v>18470</v>
      </c>
    </row>
    <row r="2747" spans="1:4">
      <c r="A2747" t="s">
        <v>9</v>
      </c>
      <c r="B2747" t="s">
        <v>151</v>
      </c>
      <c r="C2747" s="9">
        <v>46260</v>
      </c>
      <c r="D2747" s="10">
        <v>29607</v>
      </c>
    </row>
    <row r="2748" spans="1:4">
      <c r="A2748" t="s">
        <v>9</v>
      </c>
      <c r="B2748" t="s">
        <v>191</v>
      </c>
      <c r="C2748" s="9">
        <v>46260</v>
      </c>
      <c r="D2748" s="10">
        <v>31053</v>
      </c>
    </row>
    <row r="2749" spans="1:4">
      <c r="A2749" t="s">
        <v>9</v>
      </c>
      <c r="B2749" t="s">
        <v>166</v>
      </c>
      <c r="C2749" s="9">
        <v>46260</v>
      </c>
      <c r="D2749" s="10">
        <v>31119</v>
      </c>
    </row>
    <row r="2750" spans="1:4">
      <c r="A2750" t="s">
        <v>9</v>
      </c>
      <c r="B2750" t="s">
        <v>250</v>
      </c>
      <c r="C2750" s="9">
        <v>46260</v>
      </c>
      <c r="D2750" s="10">
        <v>40433</v>
      </c>
    </row>
    <row r="2751" spans="1:4">
      <c r="A2751" t="s">
        <v>4</v>
      </c>
      <c r="B2751" t="s">
        <v>111</v>
      </c>
      <c r="C2751" s="9">
        <v>46261</v>
      </c>
      <c r="D2751" s="10">
        <v>24797</v>
      </c>
    </row>
    <row r="2752" spans="1:4">
      <c r="A2752" t="s">
        <v>33</v>
      </c>
      <c r="B2752" t="s">
        <v>99</v>
      </c>
      <c r="C2752" s="9">
        <v>46261</v>
      </c>
      <c r="D2752" s="10">
        <v>12570</v>
      </c>
    </row>
    <row r="2753" spans="1:4">
      <c r="A2753" t="s">
        <v>7</v>
      </c>
      <c r="B2753" t="s">
        <v>101</v>
      </c>
      <c r="C2753" s="9">
        <v>46261</v>
      </c>
      <c r="D2753" s="10">
        <v>22177</v>
      </c>
    </row>
    <row r="2754" spans="1:4">
      <c r="A2754" t="s">
        <v>9</v>
      </c>
      <c r="B2754" t="s">
        <v>222</v>
      </c>
      <c r="C2754" s="9">
        <v>46261</v>
      </c>
      <c r="D2754" s="10">
        <v>45848</v>
      </c>
    </row>
    <row r="2755" spans="1:4">
      <c r="A2755" t="s">
        <v>9</v>
      </c>
      <c r="B2755" t="s">
        <v>132</v>
      </c>
      <c r="C2755" s="9">
        <v>46261</v>
      </c>
      <c r="D2755" s="10">
        <v>26694</v>
      </c>
    </row>
    <row r="2756" spans="1:4">
      <c r="A2756" t="s">
        <v>5</v>
      </c>
      <c r="B2756" t="s">
        <v>67</v>
      </c>
      <c r="C2756" s="9">
        <v>46261</v>
      </c>
      <c r="D2756" s="10">
        <v>54607</v>
      </c>
    </row>
    <row r="2757" spans="1:4">
      <c r="A2757" t="s">
        <v>5</v>
      </c>
      <c r="B2757" t="s">
        <v>141</v>
      </c>
      <c r="C2757" s="9">
        <v>46261</v>
      </c>
      <c r="D2757" s="10">
        <v>40430</v>
      </c>
    </row>
    <row r="2758" spans="1:4">
      <c r="A2758" t="s">
        <v>5</v>
      </c>
      <c r="B2758" t="s">
        <v>78</v>
      </c>
      <c r="C2758" s="9">
        <v>46261</v>
      </c>
      <c r="D2758" s="10">
        <v>39915</v>
      </c>
    </row>
    <row r="2759" spans="1:4">
      <c r="A2759" t="s">
        <v>5</v>
      </c>
      <c r="B2759" t="s">
        <v>176</v>
      </c>
      <c r="C2759" s="9">
        <v>46261</v>
      </c>
      <c r="D2759" s="10">
        <v>35649</v>
      </c>
    </row>
    <row r="2760" spans="1:4">
      <c r="A2760" t="s">
        <v>5</v>
      </c>
      <c r="B2760" t="s">
        <v>176</v>
      </c>
      <c r="C2760" s="9">
        <v>46261</v>
      </c>
      <c r="D2760" s="10">
        <v>35751</v>
      </c>
    </row>
    <row r="2761" spans="1:4">
      <c r="A2761" t="s">
        <v>5</v>
      </c>
      <c r="B2761" t="s">
        <v>108</v>
      </c>
      <c r="C2761" s="9">
        <v>46261</v>
      </c>
      <c r="D2761" s="10">
        <v>40866</v>
      </c>
    </row>
    <row r="2762" spans="1:4">
      <c r="A2762" t="s">
        <v>5</v>
      </c>
      <c r="B2762" t="s">
        <v>178</v>
      </c>
      <c r="C2762" s="9">
        <v>46261</v>
      </c>
      <c r="D2762" s="10">
        <v>56729</v>
      </c>
    </row>
    <row r="2763" spans="1:4">
      <c r="A2763" t="s">
        <v>5</v>
      </c>
      <c r="B2763" t="s">
        <v>178</v>
      </c>
      <c r="C2763" s="9">
        <v>46261</v>
      </c>
      <c r="D2763" s="10">
        <v>49329</v>
      </c>
    </row>
    <row r="2764" spans="1:4">
      <c r="A2764" t="s">
        <v>4</v>
      </c>
      <c r="B2764" t="s">
        <v>137</v>
      </c>
      <c r="C2764" s="9">
        <v>46262</v>
      </c>
      <c r="D2764" s="10">
        <v>37140</v>
      </c>
    </row>
    <row r="2765" spans="1:4">
      <c r="A2765" t="s">
        <v>8</v>
      </c>
      <c r="B2765" t="s">
        <v>248</v>
      </c>
      <c r="C2765" s="9">
        <v>46262</v>
      </c>
      <c r="D2765" s="10">
        <v>20492</v>
      </c>
    </row>
    <row r="2766" spans="1:4">
      <c r="A2766" t="s">
        <v>8</v>
      </c>
      <c r="B2766" t="s">
        <v>160</v>
      </c>
      <c r="C2766" s="9">
        <v>46262</v>
      </c>
      <c r="D2766" s="10">
        <v>17748</v>
      </c>
    </row>
    <row r="2767" spans="1:4">
      <c r="A2767" t="s">
        <v>8</v>
      </c>
      <c r="B2767" t="s">
        <v>232</v>
      </c>
      <c r="C2767" s="9">
        <v>46262</v>
      </c>
      <c r="D2767" s="10">
        <v>16657</v>
      </c>
    </row>
    <row r="2768" spans="1:4">
      <c r="A2768" t="s">
        <v>8</v>
      </c>
      <c r="B2768" t="s">
        <v>203</v>
      </c>
      <c r="C2768" s="9">
        <v>46262</v>
      </c>
      <c r="D2768" s="10">
        <v>17135</v>
      </c>
    </row>
    <row r="2769" spans="1:4">
      <c r="A2769" t="s">
        <v>7</v>
      </c>
      <c r="B2769" t="s">
        <v>163</v>
      </c>
      <c r="C2769" s="9">
        <v>46262</v>
      </c>
      <c r="D2769" s="10">
        <v>24588</v>
      </c>
    </row>
    <row r="2770" spans="1:4">
      <c r="A2770" t="s">
        <v>5</v>
      </c>
      <c r="B2770" t="s">
        <v>67</v>
      </c>
      <c r="C2770" s="9">
        <v>46262</v>
      </c>
      <c r="D2770" s="10">
        <v>37100</v>
      </c>
    </row>
    <row r="2771" spans="1:4">
      <c r="A2771" t="s">
        <v>5</v>
      </c>
      <c r="B2771" t="s">
        <v>94</v>
      </c>
      <c r="C2771" s="9">
        <v>46262</v>
      </c>
      <c r="D2771" s="10">
        <v>36397</v>
      </c>
    </row>
    <row r="2772" spans="1:4">
      <c r="A2772" t="s">
        <v>5</v>
      </c>
      <c r="B2772" t="s">
        <v>108</v>
      </c>
      <c r="C2772" s="9">
        <v>46262</v>
      </c>
      <c r="D2772" s="10">
        <v>47674</v>
      </c>
    </row>
    <row r="2773" spans="1:4">
      <c r="A2773" t="s">
        <v>5</v>
      </c>
      <c r="B2773" t="s">
        <v>136</v>
      </c>
      <c r="C2773" s="9">
        <v>46262</v>
      </c>
      <c r="D2773" s="10">
        <v>40551</v>
      </c>
    </row>
    <row r="2774" spans="1:4">
      <c r="A2774" t="s">
        <v>5</v>
      </c>
      <c r="B2774" t="s">
        <v>109</v>
      </c>
      <c r="C2774" s="9">
        <v>46262</v>
      </c>
      <c r="D2774" s="10">
        <v>31163</v>
      </c>
    </row>
    <row r="2775" spans="1:4">
      <c r="A2775" t="s">
        <v>4</v>
      </c>
      <c r="B2775" t="s">
        <v>154</v>
      </c>
      <c r="C2775" s="9">
        <v>46263</v>
      </c>
      <c r="D2775" s="10">
        <v>39809</v>
      </c>
    </row>
    <row r="2776" spans="1:4">
      <c r="A2776" t="s">
        <v>7</v>
      </c>
      <c r="B2776" t="s">
        <v>282</v>
      </c>
      <c r="C2776" s="9">
        <v>46263</v>
      </c>
      <c r="D2776" s="10">
        <v>23954</v>
      </c>
    </row>
    <row r="2777" spans="1:4">
      <c r="A2777" t="s">
        <v>9</v>
      </c>
      <c r="B2777" t="s">
        <v>134</v>
      </c>
      <c r="C2777" s="9">
        <v>46263</v>
      </c>
      <c r="D2777" s="10">
        <v>48536</v>
      </c>
    </row>
    <row r="2778" spans="1:4">
      <c r="A2778" t="s">
        <v>9</v>
      </c>
      <c r="B2778" t="s">
        <v>64</v>
      </c>
      <c r="C2778" s="9">
        <v>46263</v>
      </c>
      <c r="D2778" s="10">
        <v>22523</v>
      </c>
    </row>
    <row r="2779" spans="1:4">
      <c r="A2779" t="s">
        <v>9</v>
      </c>
      <c r="B2779" t="s">
        <v>166</v>
      </c>
      <c r="C2779" s="9">
        <v>46263</v>
      </c>
      <c r="D2779" s="10">
        <v>32970</v>
      </c>
    </row>
    <row r="2780" spans="1:4">
      <c r="A2780" t="s">
        <v>9</v>
      </c>
      <c r="B2780" t="s">
        <v>192</v>
      </c>
      <c r="C2780" s="9">
        <v>46263</v>
      </c>
      <c r="D2780" s="10">
        <v>42035</v>
      </c>
    </row>
    <row r="2781" spans="1:4">
      <c r="A2781" t="s">
        <v>9</v>
      </c>
      <c r="B2781" t="s">
        <v>110</v>
      </c>
      <c r="C2781" s="9">
        <v>46263</v>
      </c>
      <c r="D2781" s="10">
        <v>25683</v>
      </c>
    </row>
    <row r="2782" spans="1:4">
      <c r="A2782" t="s">
        <v>5</v>
      </c>
      <c r="B2782" t="s">
        <v>199</v>
      </c>
      <c r="C2782" s="9">
        <v>46263</v>
      </c>
      <c r="D2782" s="10">
        <v>44850</v>
      </c>
    </row>
    <row r="2783" spans="1:4">
      <c r="A2783" t="s">
        <v>5</v>
      </c>
      <c r="B2783" t="s">
        <v>177</v>
      </c>
      <c r="C2783" s="9">
        <v>46263</v>
      </c>
      <c r="D2783" s="10">
        <v>45634</v>
      </c>
    </row>
    <row r="2784" spans="1:4">
      <c r="A2784" t="s">
        <v>26</v>
      </c>
      <c r="B2784" t="s">
        <v>156</v>
      </c>
      <c r="C2784" s="9">
        <v>46264</v>
      </c>
      <c r="D2784" s="10">
        <v>15767</v>
      </c>
    </row>
    <row r="2785" spans="1:4">
      <c r="A2785" t="s">
        <v>30</v>
      </c>
      <c r="B2785" t="s">
        <v>60</v>
      </c>
      <c r="C2785" s="9">
        <v>46264</v>
      </c>
      <c r="D2785" s="10">
        <v>13946</v>
      </c>
    </row>
    <row r="2786" spans="1:4">
      <c r="A2786" t="s">
        <v>8</v>
      </c>
      <c r="B2786" t="s">
        <v>227</v>
      </c>
      <c r="C2786" s="9">
        <v>46264</v>
      </c>
      <c r="D2786" s="10">
        <v>6124</v>
      </c>
    </row>
    <row r="2787" spans="1:4">
      <c r="A2787" t="s">
        <v>34</v>
      </c>
      <c r="B2787" t="s">
        <v>161</v>
      </c>
      <c r="C2787" s="9">
        <v>46264</v>
      </c>
      <c r="D2787" s="10">
        <v>11564</v>
      </c>
    </row>
    <row r="2788" spans="1:4">
      <c r="A2788" t="s">
        <v>7</v>
      </c>
      <c r="B2788" t="s">
        <v>150</v>
      </c>
      <c r="C2788" s="9">
        <v>46264</v>
      </c>
      <c r="D2788" s="10">
        <v>21097</v>
      </c>
    </row>
    <row r="2789" spans="1:4">
      <c r="A2789" t="s">
        <v>9</v>
      </c>
      <c r="B2789" t="s">
        <v>63</v>
      </c>
      <c r="C2789" s="9">
        <v>46264</v>
      </c>
      <c r="D2789" s="10">
        <v>28896</v>
      </c>
    </row>
    <row r="2790" spans="1:4">
      <c r="A2790" t="s">
        <v>9</v>
      </c>
      <c r="B2790" t="s">
        <v>268</v>
      </c>
      <c r="C2790" s="9">
        <v>46264</v>
      </c>
      <c r="D2790" s="10">
        <v>19984</v>
      </c>
    </row>
    <row r="2791" spans="1:4">
      <c r="A2791" t="s">
        <v>9</v>
      </c>
      <c r="B2791" t="s">
        <v>186</v>
      </c>
      <c r="C2791" s="9">
        <v>46264</v>
      </c>
      <c r="D2791" s="10">
        <v>26647</v>
      </c>
    </row>
    <row r="2792" spans="1:4">
      <c r="A2792" t="s">
        <v>5</v>
      </c>
      <c r="B2792" t="s">
        <v>94</v>
      </c>
      <c r="C2792" s="9">
        <v>46264</v>
      </c>
      <c r="D2792" s="10">
        <v>36096</v>
      </c>
    </row>
    <row r="2793" spans="1:4">
      <c r="A2793" t="s">
        <v>5</v>
      </c>
      <c r="B2793" t="s">
        <v>110</v>
      </c>
      <c r="C2793" s="9">
        <v>46264</v>
      </c>
      <c r="D2793" s="10">
        <v>37552</v>
      </c>
    </row>
    <row r="2794" spans="1:4">
      <c r="A2794" t="s">
        <v>5</v>
      </c>
      <c r="B2794" t="s">
        <v>169</v>
      </c>
      <c r="C2794" s="9">
        <v>46264</v>
      </c>
      <c r="D2794" s="10">
        <v>32729</v>
      </c>
    </row>
    <row r="2795" spans="1:4">
      <c r="A2795" t="s">
        <v>5</v>
      </c>
      <c r="B2795" t="s">
        <v>79</v>
      </c>
      <c r="C2795" s="9">
        <v>46264</v>
      </c>
      <c r="D2795" s="10">
        <v>41866</v>
      </c>
    </row>
    <row r="2796" spans="1:4">
      <c r="A2796" t="s">
        <v>4</v>
      </c>
      <c r="B2796" t="s">
        <v>214</v>
      </c>
      <c r="C2796" s="9">
        <v>46265</v>
      </c>
      <c r="D2796" s="10">
        <v>23112</v>
      </c>
    </row>
    <row r="2797" spans="1:4">
      <c r="A2797" t="s">
        <v>29</v>
      </c>
      <c r="B2797" t="s">
        <v>263</v>
      </c>
      <c r="C2797" s="9">
        <v>46265</v>
      </c>
      <c r="D2797" s="10">
        <v>12564</v>
      </c>
    </row>
    <row r="2798" spans="1:4">
      <c r="A2798" t="s">
        <v>9</v>
      </c>
      <c r="B2798" t="s">
        <v>106</v>
      </c>
      <c r="C2798" s="9">
        <v>46265</v>
      </c>
      <c r="D2798" s="10">
        <v>25939</v>
      </c>
    </row>
    <row r="2799" spans="1:4">
      <c r="A2799" t="s">
        <v>5</v>
      </c>
      <c r="B2799" t="s">
        <v>135</v>
      </c>
      <c r="C2799" s="9">
        <v>46265</v>
      </c>
      <c r="D2799" s="10">
        <v>43193</v>
      </c>
    </row>
    <row r="2800" spans="1:4">
      <c r="A2800" t="s">
        <v>5</v>
      </c>
      <c r="B2800" t="s">
        <v>230</v>
      </c>
      <c r="C2800" s="9">
        <v>46265</v>
      </c>
      <c r="D2800" s="10">
        <v>32831</v>
      </c>
    </row>
    <row r="2801" spans="1:4">
      <c r="A2801" t="s">
        <v>5</v>
      </c>
      <c r="B2801" t="s">
        <v>109</v>
      </c>
      <c r="C2801" s="9">
        <v>46265</v>
      </c>
      <c r="D2801" s="10">
        <v>46571</v>
      </c>
    </row>
    <row r="2802" spans="1:4">
      <c r="A2802" t="s">
        <v>5</v>
      </c>
      <c r="B2802" t="s">
        <v>68</v>
      </c>
      <c r="C2802" s="9">
        <v>46265</v>
      </c>
      <c r="D2802" s="10">
        <v>47660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7:D27"/>
  <sheetViews>
    <sheetView workbookViewId="0">
      <selection activeCell="E17" sqref="E17"/>
    </sheetView>
  </sheetViews>
  <sheetFormatPr defaultRowHeight="14.5"/>
  <cols>
    <col min="1" max="1" width="7.453125" customWidth="1"/>
    <col min="2" max="2" width="43.26953125" customWidth="1"/>
    <col min="3" max="4" width="12.54296875" customWidth="1"/>
  </cols>
  <sheetData>
    <row r="7" spans="1:4" ht="43.5">
      <c r="B7" s="2" t="s">
        <v>10</v>
      </c>
      <c r="C7" s="3" t="s">
        <v>11</v>
      </c>
      <c r="D7" s="3" t="s">
        <v>12</v>
      </c>
    </row>
    <row r="8" spans="1:4">
      <c r="A8">
        <v>1</v>
      </c>
      <c r="B8" s="26" t="s">
        <v>35</v>
      </c>
      <c r="C8" s="26" t="str">
        <f>VLOOKUP(B8,ABC_менеджеры_сумма!$A$23:$J$42,10,0)</f>
        <v>C</v>
      </c>
      <c r="D8" s="26" t="str">
        <f>VLOOKUP(B8,ABC_Менеджеры_сделки!$A$23:$J$42,10,0)</f>
        <v>С</v>
      </c>
    </row>
    <row r="9" spans="1:4">
      <c r="A9">
        <v>2</v>
      </c>
      <c r="B9" s="4" t="s">
        <v>27</v>
      </c>
      <c r="C9" s="4" t="str">
        <f>VLOOKUP(B9,ABC_менеджеры_сумма!$A$23:$J$42,10,0)</f>
        <v>B</v>
      </c>
      <c r="D9" s="4" t="str">
        <f>VLOOKUP(B9,ABC_Менеджеры_сделки!$A$23:$J$42,10,0)</f>
        <v>B</v>
      </c>
    </row>
    <row r="10" spans="1:4">
      <c r="A10">
        <v>3</v>
      </c>
      <c r="B10" s="26" t="s">
        <v>38</v>
      </c>
      <c r="C10" s="26" t="str">
        <f>VLOOKUP(B10,ABC_менеджеры_сумма!$A$23:$J$42,10,0)</f>
        <v>C</v>
      </c>
      <c r="D10" s="26" t="str">
        <f>VLOOKUP(B10,ABC_Менеджеры_сделки!$A$23:$J$42,10,0)</f>
        <v>С</v>
      </c>
    </row>
    <row r="11" spans="1:4">
      <c r="A11">
        <v>4</v>
      </c>
      <c r="B11" s="25" t="s">
        <v>4</v>
      </c>
      <c r="C11" s="25" t="str">
        <f>VLOOKUP(B11,ABC_менеджеры_сумма!$A$23:$J$42,10,0)</f>
        <v>A</v>
      </c>
      <c r="D11" s="25" t="str">
        <f>VLOOKUP(B11,ABC_Менеджеры_сделки!$A$23:$J$42,10,0)</f>
        <v>А</v>
      </c>
    </row>
    <row r="12" spans="1:4">
      <c r="A12">
        <v>5</v>
      </c>
      <c r="B12" s="26" t="s">
        <v>31</v>
      </c>
      <c r="C12" s="26" t="str">
        <f>VLOOKUP(B12,ABC_менеджеры_сумма!$A$23:$J$42,10,0)</f>
        <v>C</v>
      </c>
      <c r="D12" s="26" t="str">
        <f>VLOOKUP(B12,ABC_Менеджеры_сделки!$A$23:$J$42,10,0)</f>
        <v>С</v>
      </c>
    </row>
    <row r="13" spans="1:4">
      <c r="A13">
        <v>6</v>
      </c>
      <c r="B13" s="4" t="s">
        <v>25</v>
      </c>
      <c r="C13" s="4" t="str">
        <f>VLOOKUP(B13,ABC_менеджеры_сумма!$A$23:$J$42,10,0)</f>
        <v>B</v>
      </c>
      <c r="D13" s="4" t="str">
        <f>VLOOKUP(B13,ABC_Менеджеры_сделки!$A$23:$J$42,10,0)</f>
        <v>B</v>
      </c>
    </row>
    <row r="14" spans="1:4">
      <c r="A14">
        <v>7</v>
      </c>
      <c r="B14" s="26" t="s">
        <v>28</v>
      </c>
      <c r="C14" s="26" t="str">
        <f>VLOOKUP(B14,ABC_менеджеры_сумма!$A$23:$J$42,10,0)</f>
        <v>C</v>
      </c>
      <c r="D14" s="26" t="str">
        <f>VLOOKUP(B14,ABC_Менеджеры_сделки!$A$23:$J$42,10,0)</f>
        <v>С</v>
      </c>
    </row>
    <row r="15" spans="1:4">
      <c r="A15">
        <v>8</v>
      </c>
      <c r="B15" s="26" t="s">
        <v>36</v>
      </c>
      <c r="C15" s="26" t="str">
        <f>VLOOKUP(B15,ABC_менеджеры_сумма!$A$23:$J$42,10,0)</f>
        <v>C</v>
      </c>
      <c r="D15" s="26" t="str">
        <f>VLOOKUP(B15,ABC_Менеджеры_сделки!$A$23:$J$42,10,0)</f>
        <v>С</v>
      </c>
    </row>
    <row r="16" spans="1:4">
      <c r="A16">
        <v>9</v>
      </c>
      <c r="B16" s="4" t="s">
        <v>26</v>
      </c>
      <c r="C16" s="4" t="str">
        <f>VLOOKUP(B16,ABC_менеджеры_сумма!$A$23:$J$42,10,0)</f>
        <v>B</v>
      </c>
      <c r="D16" s="4" t="str">
        <f>VLOOKUP(B16,ABC_Менеджеры_сделки!$A$23:$J$42,10,0)</f>
        <v>B</v>
      </c>
    </row>
    <row r="17" spans="1:4">
      <c r="A17">
        <v>10</v>
      </c>
      <c r="B17" s="26" t="s">
        <v>30</v>
      </c>
      <c r="C17" s="26" t="str">
        <f>VLOOKUP(B17,ABC_менеджеры_сумма!$A$23:$J$42,10,0)</f>
        <v>C</v>
      </c>
      <c r="D17" s="26" t="str">
        <f>VLOOKUP(B17,ABC_Менеджеры_сделки!$A$23:$J$42,10,0)</f>
        <v>С</v>
      </c>
    </row>
    <row r="18" spans="1:4">
      <c r="A18">
        <v>11</v>
      </c>
      <c r="B18" s="4" t="s">
        <v>8</v>
      </c>
      <c r="C18" s="4" t="str">
        <f>VLOOKUP(B18,ABC_менеджеры_сумма!$A$23:$J$42,10,0)</f>
        <v>B</v>
      </c>
      <c r="D18" s="4" t="str">
        <f>VLOOKUP(B18,ABC_Менеджеры_сделки!$A$23:$J$42,10,0)</f>
        <v>B</v>
      </c>
    </row>
    <row r="19" spans="1:4">
      <c r="A19">
        <v>12</v>
      </c>
      <c r="B19" s="26" t="s">
        <v>32</v>
      </c>
      <c r="C19" s="26" t="str">
        <f>VLOOKUP(B19,ABC_менеджеры_сумма!$A$23:$J$42,10,0)</f>
        <v>C</v>
      </c>
      <c r="D19" s="26" t="str">
        <f>VLOOKUP(B19,ABC_Менеджеры_сделки!$A$23:$J$42,10,0)</f>
        <v>С</v>
      </c>
    </row>
    <row r="20" spans="1:4">
      <c r="A20">
        <v>13</v>
      </c>
      <c r="B20" s="26" t="s">
        <v>34</v>
      </c>
      <c r="C20" s="26" t="str">
        <f>VLOOKUP(B20,ABC_менеджеры_сумма!$A$23:$J$42,10,0)</f>
        <v>C</v>
      </c>
      <c r="D20" s="26" t="str">
        <f>VLOOKUP(B20,ABC_Менеджеры_сделки!$A$23:$J$42,10,0)</f>
        <v>С</v>
      </c>
    </row>
    <row r="21" spans="1:4">
      <c r="A21">
        <v>14</v>
      </c>
      <c r="B21" s="4" t="s">
        <v>6</v>
      </c>
      <c r="C21" s="4" t="str">
        <f>VLOOKUP(B21,ABC_менеджеры_сумма!$A$23:$J$42,10,0)</f>
        <v>B</v>
      </c>
      <c r="D21" s="4" t="str">
        <f>VLOOKUP(B21,ABC_Менеджеры_сделки!$A$23:$J$42,10,0)</f>
        <v>B</v>
      </c>
    </row>
    <row r="22" spans="1:4">
      <c r="A22">
        <v>15</v>
      </c>
      <c r="B22" s="26" t="s">
        <v>33</v>
      </c>
      <c r="C22" s="26" t="str">
        <f>VLOOKUP(B22,ABC_менеджеры_сумма!$A$23:$J$42,10,0)</f>
        <v>C</v>
      </c>
      <c r="D22" s="26" t="str">
        <f>VLOOKUP(B22,ABC_Менеджеры_сделки!$A$23:$J$42,10,0)</f>
        <v>С</v>
      </c>
    </row>
    <row r="23" spans="1:4">
      <c r="A23">
        <v>16</v>
      </c>
      <c r="B23" s="26" t="s">
        <v>29</v>
      </c>
      <c r="C23" s="26" t="str">
        <f>VLOOKUP(B23,ABC_менеджеры_сумма!$A$23:$J$42,10,0)</f>
        <v>C</v>
      </c>
      <c r="D23" s="26" t="str">
        <f>VLOOKUP(B23,ABC_Менеджеры_сделки!$A$23:$J$42,10,0)</f>
        <v>С</v>
      </c>
    </row>
    <row r="24" spans="1:4">
      <c r="A24">
        <v>17</v>
      </c>
      <c r="B24" s="25" t="s">
        <v>7</v>
      </c>
      <c r="C24" s="25" t="str">
        <f>VLOOKUP(B24,ABC_менеджеры_сумма!$A$23:$J$42,10,0)</f>
        <v>A</v>
      </c>
      <c r="D24" s="25" t="str">
        <f>VLOOKUP(B24,ABC_Менеджеры_сделки!$A$23:$J$42,10,0)</f>
        <v>А</v>
      </c>
    </row>
    <row r="25" spans="1:4">
      <c r="A25">
        <v>18</v>
      </c>
      <c r="B25" s="26" t="s">
        <v>37</v>
      </c>
      <c r="C25" s="26" t="str">
        <f>VLOOKUP(B25,ABC_менеджеры_сумма!$A$23:$J$42,10,0)</f>
        <v>C</v>
      </c>
      <c r="D25" s="26" t="str">
        <f>VLOOKUP(B25,ABC_Менеджеры_сделки!$A$23:$J$42,10,0)</f>
        <v>С</v>
      </c>
    </row>
    <row r="26" spans="1:4">
      <c r="A26">
        <v>19</v>
      </c>
      <c r="B26" s="25" t="s">
        <v>9</v>
      </c>
      <c r="C26" s="25" t="str">
        <f>VLOOKUP(B26,ABC_менеджеры_сумма!$A$23:$J$42,10,0)</f>
        <v>A</v>
      </c>
      <c r="D26" s="25" t="str">
        <f>VLOOKUP(B26,ABC_Менеджеры_сделки!$A$23:$J$42,10,0)</f>
        <v>А</v>
      </c>
    </row>
    <row r="27" spans="1:4">
      <c r="A27">
        <v>20</v>
      </c>
      <c r="B27" s="25" t="s">
        <v>5</v>
      </c>
      <c r="C27" s="25" t="str">
        <f>VLOOKUP(B27,ABC_менеджеры_сумма!$A$23:$J$42,10,0)</f>
        <v>A</v>
      </c>
      <c r="D27" s="25" t="str">
        <f>VLOOKUP(B27,ABC_Менеджеры_сделки!$A$23:$J$42,10,0)</f>
        <v>А</v>
      </c>
    </row>
  </sheetData>
  <autoFilter ref="A7:D27" xr:uid="{00000000-0001-0000-0100-000000000000}"/>
  <sortState xmlns:xlrd2="http://schemas.microsoft.com/office/spreadsheetml/2017/richdata2" ref="A8:D27">
    <sortCondition ref="B8:B27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3010"/>
  <sheetViews>
    <sheetView tabSelected="1" topLeftCell="F1" zoomScaleNormal="100" workbookViewId="0">
      <selection activeCell="R23" sqref="R23"/>
    </sheetView>
  </sheetViews>
  <sheetFormatPr defaultRowHeight="14.5"/>
  <cols>
    <col min="1" max="1" width="32" hidden="1" customWidth="1"/>
    <col min="2" max="2" width="15.54296875" hidden="1" customWidth="1"/>
    <col min="3" max="5" width="0" hidden="1" customWidth="1"/>
    <col min="6" max="6" width="24.453125" customWidth="1"/>
    <col min="10" max="10" width="8.7265625" customWidth="1"/>
    <col min="30" max="30" width="25.81640625" bestFit="1" customWidth="1"/>
    <col min="31" max="31" width="24.81640625" customWidth="1"/>
    <col min="32" max="32" width="13.36328125" customWidth="1"/>
    <col min="33" max="33" width="11.7265625" customWidth="1"/>
    <col min="34" max="34" width="11.1796875" bestFit="1" customWidth="1"/>
  </cols>
  <sheetData>
    <row r="1" spans="1:33">
      <c r="A1" s="11" t="s">
        <v>294</v>
      </c>
      <c r="B1" t="s">
        <v>295</v>
      </c>
      <c r="C1" t="s">
        <v>17</v>
      </c>
      <c r="F1" t="s">
        <v>314</v>
      </c>
      <c r="G1" t="s">
        <v>313</v>
      </c>
      <c r="H1" t="s">
        <v>17</v>
      </c>
      <c r="I1" t="s">
        <v>18</v>
      </c>
      <c r="J1" t="s">
        <v>315</v>
      </c>
      <c r="R1" s="5" t="s">
        <v>16</v>
      </c>
      <c r="S1" s="4" t="s">
        <v>39</v>
      </c>
      <c r="T1" s="4" t="s">
        <v>40</v>
      </c>
      <c r="U1" s="4" t="s">
        <v>41</v>
      </c>
      <c r="V1" s="4" t="s">
        <v>42</v>
      </c>
      <c r="W1" s="4" t="s">
        <v>43</v>
      </c>
      <c r="X1" s="4" t="s">
        <v>44</v>
      </c>
      <c r="Y1" s="4" t="s">
        <v>45</v>
      </c>
      <c r="Z1" s="4" t="s">
        <v>46</v>
      </c>
      <c r="AA1" s="6" t="s">
        <v>17</v>
      </c>
      <c r="AB1" s="6" t="s">
        <v>18</v>
      </c>
      <c r="AD1" s="11" t="s">
        <v>316</v>
      </c>
      <c r="AE1" s="11" t="s">
        <v>312</v>
      </c>
    </row>
    <row r="2" spans="1:33" ht="14" customHeight="1">
      <c r="A2" s="31" t="s">
        <v>228</v>
      </c>
      <c r="B2" s="13">
        <v>144110</v>
      </c>
      <c r="C2" t="str">
        <f>VLOOKUP(B2,$N$34:$O$36,2,1)</f>
        <v>C</v>
      </c>
      <c r="F2" s="12" t="s">
        <v>69</v>
      </c>
      <c r="G2" s="23">
        <v>3.2647561855077729E-2</v>
      </c>
      <c r="H2" t="s">
        <v>13</v>
      </c>
      <c r="I2" t="s">
        <v>21</v>
      </c>
      <c r="J2">
        <v>1281153</v>
      </c>
      <c r="R2" s="4" t="s">
        <v>47</v>
      </c>
      <c r="S2" s="4">
        <v>234052</v>
      </c>
      <c r="T2" s="4">
        <v>216077</v>
      </c>
      <c r="U2" s="4">
        <v>241027</v>
      </c>
      <c r="V2" s="4">
        <v>28462</v>
      </c>
      <c r="W2" s="4">
        <v>54340</v>
      </c>
      <c r="X2" s="4">
        <v>193296</v>
      </c>
      <c r="Y2" s="4">
        <v>229566</v>
      </c>
      <c r="Z2" s="4">
        <v>233044</v>
      </c>
      <c r="AA2" s="7" t="s">
        <v>13</v>
      </c>
      <c r="AB2" s="7" t="s">
        <v>19</v>
      </c>
      <c r="AD2" s="11" t="s">
        <v>294</v>
      </c>
      <c r="AE2" t="s">
        <v>21</v>
      </c>
      <c r="AF2" t="s">
        <v>20</v>
      </c>
      <c r="AG2" t="s">
        <v>19</v>
      </c>
    </row>
    <row r="3" spans="1:33">
      <c r="A3" s="12" t="s">
        <v>127</v>
      </c>
      <c r="B3" s="13">
        <v>108060</v>
      </c>
      <c r="C3" t="str">
        <f t="shared" ref="C3:C66" si="0">VLOOKUP(B3,$N$34:$O$36,2,1)</f>
        <v>C</v>
      </c>
      <c r="F3" s="12" t="s">
        <v>176</v>
      </c>
      <c r="G3" s="23">
        <v>3.2044011404104088E-2</v>
      </c>
      <c r="H3" t="s">
        <v>13</v>
      </c>
      <c r="I3" t="s">
        <v>21</v>
      </c>
      <c r="J3">
        <v>962043</v>
      </c>
      <c r="R3" s="4" t="s">
        <v>48</v>
      </c>
      <c r="S3" s="4">
        <v>183801</v>
      </c>
      <c r="T3" s="4">
        <v>184120</v>
      </c>
      <c r="U3" s="4">
        <v>179863</v>
      </c>
      <c r="V3" s="4">
        <v>170425</v>
      </c>
      <c r="W3" s="4">
        <v>173716</v>
      </c>
      <c r="X3" s="4">
        <v>169770</v>
      </c>
      <c r="Y3" s="4">
        <v>183172</v>
      </c>
      <c r="Z3" s="4">
        <v>181646</v>
      </c>
      <c r="AA3" s="7" t="s">
        <v>13</v>
      </c>
      <c r="AB3" s="7" t="s">
        <v>19</v>
      </c>
      <c r="AD3" s="12" t="s">
        <v>13</v>
      </c>
      <c r="AE3" s="13">
        <v>27536105</v>
      </c>
      <c r="AF3" s="13">
        <v>19443417</v>
      </c>
      <c r="AG3" s="13">
        <v>18864255</v>
      </c>
    </row>
    <row r="4" spans="1:33">
      <c r="A4" s="12" t="s">
        <v>261</v>
      </c>
      <c r="B4" s="13">
        <v>96257</v>
      </c>
      <c r="C4" t="str">
        <f t="shared" si="0"/>
        <v>C</v>
      </c>
      <c r="F4" s="12" t="s">
        <v>267</v>
      </c>
      <c r="G4" s="23">
        <v>2.9968640075796901E-2</v>
      </c>
      <c r="H4" t="s">
        <v>13</v>
      </c>
      <c r="I4" t="s">
        <v>21</v>
      </c>
      <c r="J4">
        <v>223066</v>
      </c>
      <c r="R4" s="4" t="s">
        <v>49</v>
      </c>
      <c r="S4" s="4">
        <v>116467</v>
      </c>
      <c r="T4" s="4">
        <v>208399</v>
      </c>
      <c r="U4" s="4">
        <v>264694</v>
      </c>
      <c r="V4" s="4">
        <v>213152</v>
      </c>
      <c r="W4" s="4">
        <v>283059</v>
      </c>
      <c r="X4" s="4">
        <v>120640</v>
      </c>
      <c r="Y4" s="4">
        <v>103649</v>
      </c>
      <c r="Z4" s="4">
        <v>98881</v>
      </c>
      <c r="AA4" s="7" t="s">
        <v>13</v>
      </c>
      <c r="AB4" s="7" t="s">
        <v>19</v>
      </c>
      <c r="AD4" s="12" t="s">
        <v>14</v>
      </c>
      <c r="AE4" s="13">
        <v>4907912</v>
      </c>
      <c r="AF4" s="13">
        <v>3755298</v>
      </c>
      <c r="AG4" s="13">
        <v>3769492</v>
      </c>
    </row>
    <row r="5" spans="1:33">
      <c r="A5" s="12" t="s">
        <v>200</v>
      </c>
      <c r="B5" s="13">
        <v>91763</v>
      </c>
      <c r="C5" t="str">
        <f t="shared" si="0"/>
        <v>C</v>
      </c>
      <c r="F5" s="12" t="s">
        <v>66</v>
      </c>
      <c r="G5" s="23">
        <v>2.7595462161016736E-2</v>
      </c>
      <c r="H5" t="s">
        <v>13</v>
      </c>
      <c r="I5" t="s">
        <v>21</v>
      </c>
      <c r="J5">
        <v>796801</v>
      </c>
      <c r="R5" s="4" t="s">
        <v>50</v>
      </c>
      <c r="S5" s="4">
        <v>169665</v>
      </c>
      <c r="T5" s="4">
        <v>160532</v>
      </c>
      <c r="U5" s="4">
        <v>173415</v>
      </c>
      <c r="V5" s="4">
        <v>174376</v>
      </c>
      <c r="W5" s="4">
        <v>174568</v>
      </c>
      <c r="X5" s="4">
        <v>161080</v>
      </c>
      <c r="Y5" s="4">
        <v>166550</v>
      </c>
      <c r="Z5" s="4">
        <v>169274</v>
      </c>
      <c r="AA5" s="7" t="s">
        <v>13</v>
      </c>
      <c r="AB5" s="7" t="s">
        <v>19</v>
      </c>
      <c r="AD5" s="12" t="s">
        <v>15</v>
      </c>
      <c r="AE5" s="13">
        <v>1877262</v>
      </c>
      <c r="AF5" s="13">
        <v>1057776</v>
      </c>
      <c r="AG5" s="13">
        <v>1210679</v>
      </c>
    </row>
    <row r="6" spans="1:33">
      <c r="A6" s="12" t="s">
        <v>158</v>
      </c>
      <c r="B6" s="13">
        <v>159395</v>
      </c>
      <c r="C6" t="str">
        <f t="shared" si="0"/>
        <v>C</v>
      </c>
      <c r="F6" s="12" t="s">
        <v>224</v>
      </c>
      <c r="G6" s="23">
        <v>2.750830347205073E-2</v>
      </c>
      <c r="H6" t="s">
        <v>13</v>
      </c>
      <c r="I6" t="s">
        <v>21</v>
      </c>
      <c r="J6">
        <v>743301</v>
      </c>
      <c r="R6" s="4" t="s">
        <v>51</v>
      </c>
      <c r="S6" s="4">
        <v>178222</v>
      </c>
      <c r="T6" s="4">
        <v>150966</v>
      </c>
      <c r="U6" s="4">
        <v>182303</v>
      </c>
      <c r="V6" s="4">
        <v>130158</v>
      </c>
      <c r="W6" s="4">
        <v>197803</v>
      </c>
      <c r="X6" s="4">
        <v>178110</v>
      </c>
      <c r="Y6" s="4">
        <v>124476</v>
      </c>
      <c r="Z6" s="4">
        <v>177636</v>
      </c>
      <c r="AA6" s="7" t="s">
        <v>13</v>
      </c>
      <c r="AB6" s="7" t="s">
        <v>20</v>
      </c>
    </row>
    <row r="7" spans="1:33">
      <c r="A7" s="12" t="s">
        <v>98</v>
      </c>
      <c r="B7" s="13">
        <v>89558</v>
      </c>
      <c r="C7" t="str">
        <f t="shared" si="0"/>
        <v>C</v>
      </c>
      <c r="F7" s="12" t="s">
        <v>174</v>
      </c>
      <c r="G7" s="23">
        <v>2.6690439970081893E-2</v>
      </c>
      <c r="H7" t="s">
        <v>13</v>
      </c>
      <c r="I7" t="s">
        <v>21</v>
      </c>
      <c r="J7">
        <v>474039</v>
      </c>
      <c r="R7" s="4" t="s">
        <v>52</v>
      </c>
      <c r="S7" s="4">
        <v>151209</v>
      </c>
      <c r="T7" s="4">
        <v>155598</v>
      </c>
      <c r="U7" s="4">
        <v>172682</v>
      </c>
      <c r="V7" s="4">
        <v>161027</v>
      </c>
      <c r="W7" s="4">
        <v>151203</v>
      </c>
      <c r="X7" s="4">
        <v>158179</v>
      </c>
      <c r="Y7" s="4">
        <v>180762</v>
      </c>
      <c r="Z7" s="4">
        <v>125537</v>
      </c>
      <c r="AA7" s="7" t="s">
        <v>13</v>
      </c>
      <c r="AB7" s="7" t="s">
        <v>20</v>
      </c>
    </row>
    <row r="8" spans="1:33">
      <c r="A8" s="12" t="s">
        <v>63</v>
      </c>
      <c r="B8" s="13">
        <v>488621</v>
      </c>
      <c r="C8" t="str">
        <f t="shared" si="0"/>
        <v>C</v>
      </c>
      <c r="F8" s="12" t="s">
        <v>153</v>
      </c>
      <c r="G8" s="23">
        <v>2.6474540532468883E-2</v>
      </c>
      <c r="H8" t="s">
        <v>13</v>
      </c>
      <c r="I8" t="s">
        <v>21</v>
      </c>
      <c r="J8">
        <v>323488</v>
      </c>
      <c r="R8" s="4" t="s">
        <v>53</v>
      </c>
      <c r="S8" s="4">
        <v>176330</v>
      </c>
      <c r="T8" s="4">
        <v>121210</v>
      </c>
      <c r="U8" s="4">
        <v>152724</v>
      </c>
      <c r="V8" s="4">
        <v>160583</v>
      </c>
      <c r="W8" s="4">
        <v>150051</v>
      </c>
      <c r="X8" s="4">
        <v>137644</v>
      </c>
      <c r="Y8" s="4">
        <v>170553</v>
      </c>
      <c r="Z8" s="4">
        <v>161697</v>
      </c>
      <c r="AA8" s="7" t="s">
        <v>13</v>
      </c>
      <c r="AB8" s="7" t="s">
        <v>19</v>
      </c>
    </row>
    <row r="9" spans="1:33">
      <c r="A9" s="12" t="s">
        <v>134</v>
      </c>
      <c r="B9" s="13">
        <v>681247</v>
      </c>
      <c r="C9" t="str">
        <f t="shared" si="0"/>
        <v>C</v>
      </c>
      <c r="F9" s="12" t="s">
        <v>135</v>
      </c>
      <c r="G9" s="23">
        <v>2.6103981599549398E-2</v>
      </c>
      <c r="H9" t="s">
        <v>13</v>
      </c>
      <c r="I9" t="s">
        <v>21</v>
      </c>
      <c r="J9">
        <v>869292</v>
      </c>
      <c r="R9" s="4" t="s">
        <v>54</v>
      </c>
      <c r="S9" s="4">
        <v>151188</v>
      </c>
      <c r="T9" s="4">
        <v>150633</v>
      </c>
      <c r="U9" s="4">
        <v>160966</v>
      </c>
      <c r="V9" s="4">
        <v>152034</v>
      </c>
      <c r="W9" s="4">
        <v>161256</v>
      </c>
      <c r="X9" s="4">
        <v>147233</v>
      </c>
      <c r="Y9" s="4">
        <v>148502</v>
      </c>
      <c r="Z9" s="4">
        <v>151988</v>
      </c>
      <c r="AA9" s="7" t="s">
        <v>14</v>
      </c>
      <c r="AB9" s="7" t="s">
        <v>19</v>
      </c>
    </row>
    <row r="10" spans="1:33">
      <c r="A10" s="12" t="s">
        <v>274</v>
      </c>
      <c r="B10" s="13">
        <v>147620</v>
      </c>
      <c r="C10" t="str">
        <f t="shared" si="0"/>
        <v>C</v>
      </c>
      <c r="F10" s="12" t="s">
        <v>207</v>
      </c>
      <c r="G10" s="23">
        <v>2.6045240475163184E-2</v>
      </c>
      <c r="H10" t="s">
        <v>13</v>
      </c>
      <c r="I10" t="s">
        <v>21</v>
      </c>
      <c r="J10">
        <v>256396</v>
      </c>
      <c r="R10" s="4" t="s">
        <v>55</v>
      </c>
      <c r="S10" s="4">
        <v>286775</v>
      </c>
      <c r="T10" s="4">
        <v>221110</v>
      </c>
      <c r="U10" s="4">
        <v>38080</v>
      </c>
      <c r="V10" s="4">
        <v>47894</v>
      </c>
      <c r="W10" s="4">
        <v>59927</v>
      </c>
      <c r="X10" s="4">
        <v>119964</v>
      </c>
      <c r="Y10" s="4">
        <v>251860</v>
      </c>
      <c r="Z10" s="4">
        <v>195841</v>
      </c>
      <c r="AA10" s="7" t="s">
        <v>14</v>
      </c>
      <c r="AB10" s="7" t="s">
        <v>19</v>
      </c>
    </row>
    <row r="11" spans="1:33">
      <c r="A11" s="12" t="s">
        <v>282</v>
      </c>
      <c r="B11" s="13">
        <v>188072</v>
      </c>
      <c r="C11" t="str">
        <f t="shared" si="0"/>
        <v>C</v>
      </c>
      <c r="F11" s="12" t="s">
        <v>284</v>
      </c>
      <c r="G11" s="23">
        <v>2.6021245279552876E-2</v>
      </c>
      <c r="H11" t="s">
        <v>13</v>
      </c>
      <c r="I11" t="s">
        <v>21</v>
      </c>
      <c r="J11">
        <v>632970</v>
      </c>
      <c r="R11" s="4" t="s">
        <v>56</v>
      </c>
      <c r="S11" s="4">
        <v>206692</v>
      </c>
      <c r="T11" s="4">
        <v>230270</v>
      </c>
      <c r="U11" s="4">
        <v>231500</v>
      </c>
      <c r="V11" s="4">
        <v>173326</v>
      </c>
      <c r="W11" s="4">
        <v>27445</v>
      </c>
      <c r="X11" s="4">
        <v>202914</v>
      </c>
      <c r="Y11" s="4">
        <v>53448</v>
      </c>
      <c r="Z11" s="4">
        <v>50577</v>
      </c>
      <c r="AA11" s="7" t="s">
        <v>14</v>
      </c>
      <c r="AB11" s="7" t="s">
        <v>21</v>
      </c>
    </row>
    <row r="12" spans="1:33">
      <c r="A12" s="12" t="s">
        <v>153</v>
      </c>
      <c r="B12" s="13">
        <v>323488</v>
      </c>
      <c r="C12" t="str">
        <f t="shared" si="0"/>
        <v>C</v>
      </c>
      <c r="F12" s="12" t="s">
        <v>132</v>
      </c>
      <c r="G12" s="23">
        <v>2.5665552834301074E-2</v>
      </c>
      <c r="H12" t="s">
        <v>13</v>
      </c>
      <c r="I12" t="s">
        <v>21</v>
      </c>
      <c r="J12">
        <v>473530</v>
      </c>
    </row>
    <row r="13" spans="1:33">
      <c r="A13" s="12" t="s">
        <v>87</v>
      </c>
      <c r="B13" s="13">
        <v>132305</v>
      </c>
      <c r="C13" t="str">
        <f t="shared" si="0"/>
        <v>C</v>
      </c>
      <c r="F13" s="12" t="s">
        <v>136</v>
      </c>
      <c r="G13" s="23">
        <v>2.5554328478535209E-2</v>
      </c>
      <c r="H13" t="s">
        <v>13</v>
      </c>
      <c r="I13" t="s">
        <v>21</v>
      </c>
      <c r="J13">
        <v>1232944</v>
      </c>
    </row>
    <row r="14" spans="1:33">
      <c r="A14" s="12" t="s">
        <v>116</v>
      </c>
      <c r="B14" s="13">
        <v>1332843</v>
      </c>
      <c r="C14" t="str">
        <f t="shared" si="0"/>
        <v>C</v>
      </c>
      <c r="F14" s="12" t="s">
        <v>230</v>
      </c>
      <c r="G14" s="23">
        <v>2.5025419939973134E-2</v>
      </c>
      <c r="H14" t="s">
        <v>13</v>
      </c>
      <c r="I14" t="s">
        <v>21</v>
      </c>
      <c r="J14">
        <v>1000118</v>
      </c>
      <c r="M14" t="s">
        <v>22</v>
      </c>
    </row>
    <row r="15" spans="1:33">
      <c r="A15" s="12" t="s">
        <v>290</v>
      </c>
      <c r="B15" s="13">
        <v>219816</v>
      </c>
      <c r="C15" t="str">
        <f t="shared" si="0"/>
        <v>C</v>
      </c>
      <c r="F15" s="12" t="s">
        <v>285</v>
      </c>
      <c r="G15" s="23">
        <v>2.439108009672054E-2</v>
      </c>
      <c r="H15" t="s">
        <v>13</v>
      </c>
      <c r="I15" t="s">
        <v>21</v>
      </c>
      <c r="J15">
        <v>258435</v>
      </c>
      <c r="M15" t="s">
        <v>23</v>
      </c>
    </row>
    <row r="16" spans="1:33">
      <c r="A16" s="12" t="s">
        <v>66</v>
      </c>
      <c r="B16" s="13">
        <v>796801</v>
      </c>
      <c r="C16" t="str">
        <f t="shared" si="0"/>
        <v>C</v>
      </c>
      <c r="F16" s="12" t="s">
        <v>102</v>
      </c>
      <c r="G16" s="23">
        <v>2.4181571200891802E-2</v>
      </c>
      <c r="H16" t="s">
        <v>13</v>
      </c>
      <c r="I16" t="s">
        <v>21</v>
      </c>
      <c r="J16">
        <v>519961</v>
      </c>
      <c r="M16" s="4"/>
      <c r="N16" s="4" t="s">
        <v>21</v>
      </c>
      <c r="O16" s="4" t="s">
        <v>20</v>
      </c>
      <c r="P16" s="4" t="s">
        <v>19</v>
      </c>
    </row>
    <row r="17" spans="1:16">
      <c r="A17" s="12" t="s">
        <v>147</v>
      </c>
      <c r="B17" s="13">
        <v>112199</v>
      </c>
      <c r="C17" t="str">
        <f t="shared" si="0"/>
        <v>C</v>
      </c>
      <c r="F17" s="12" t="s">
        <v>124</v>
      </c>
      <c r="G17" s="23">
        <v>2.4066534174539501E-2</v>
      </c>
      <c r="H17" t="s">
        <v>13</v>
      </c>
      <c r="I17" t="s">
        <v>21</v>
      </c>
      <c r="J17">
        <v>289112</v>
      </c>
      <c r="M17" s="4" t="s">
        <v>13</v>
      </c>
      <c r="N17" s="13">
        <v>45</v>
      </c>
      <c r="O17" s="13">
        <v>33</v>
      </c>
      <c r="P17" s="13">
        <v>31</v>
      </c>
    </row>
    <row r="18" spans="1:16">
      <c r="A18" s="12" t="s">
        <v>271</v>
      </c>
      <c r="B18" s="13">
        <v>212122</v>
      </c>
      <c r="C18" t="str">
        <f t="shared" si="0"/>
        <v>C</v>
      </c>
      <c r="F18" s="12" t="s">
        <v>231</v>
      </c>
      <c r="G18" s="23">
        <v>2.4026638146690829E-2</v>
      </c>
      <c r="H18" t="s">
        <v>13</v>
      </c>
      <c r="I18" t="s">
        <v>21</v>
      </c>
      <c r="J18">
        <v>247989</v>
      </c>
      <c r="M18" s="4" t="s">
        <v>14</v>
      </c>
      <c r="N18" s="13">
        <v>33</v>
      </c>
      <c r="O18" s="13">
        <v>26</v>
      </c>
      <c r="P18" s="13">
        <v>26</v>
      </c>
    </row>
    <row r="19" spans="1:16">
      <c r="A19" s="12" t="s">
        <v>208</v>
      </c>
      <c r="B19" s="13">
        <v>180288</v>
      </c>
      <c r="C19" t="str">
        <f t="shared" si="0"/>
        <v>C</v>
      </c>
      <c r="F19" s="12" t="s">
        <v>125</v>
      </c>
      <c r="G19" s="23">
        <v>2.3935477492101336E-2</v>
      </c>
      <c r="H19" t="s">
        <v>13</v>
      </c>
      <c r="I19" t="s">
        <v>21</v>
      </c>
      <c r="J19">
        <v>272595</v>
      </c>
      <c r="M19" s="4" t="s">
        <v>15</v>
      </c>
      <c r="N19" s="13">
        <v>19</v>
      </c>
      <c r="O19" s="13">
        <v>11</v>
      </c>
      <c r="P19" s="13">
        <v>13</v>
      </c>
    </row>
    <row r="20" spans="1:16">
      <c r="A20" s="12" t="s">
        <v>231</v>
      </c>
      <c r="B20" s="13">
        <v>247989</v>
      </c>
      <c r="C20" t="str">
        <f t="shared" si="0"/>
        <v>C</v>
      </c>
      <c r="F20" s="12" t="s">
        <v>134</v>
      </c>
      <c r="G20" s="23">
        <v>2.3475072737099274E-2</v>
      </c>
      <c r="H20" t="s">
        <v>13</v>
      </c>
      <c r="I20" t="s">
        <v>21</v>
      </c>
      <c r="J20">
        <v>681247</v>
      </c>
    </row>
    <row r="21" spans="1:16">
      <c r="A21" s="12" t="s">
        <v>61</v>
      </c>
      <c r="B21" s="13">
        <v>196129</v>
      </c>
      <c r="C21" t="str">
        <f t="shared" si="0"/>
        <v>C</v>
      </c>
      <c r="F21" s="12" t="s">
        <v>75</v>
      </c>
      <c r="G21" s="23">
        <v>2.3208984867185162E-2</v>
      </c>
      <c r="H21" t="s">
        <v>13</v>
      </c>
      <c r="I21" t="s">
        <v>21</v>
      </c>
      <c r="J21">
        <v>370056</v>
      </c>
      <c r="M21" t="s">
        <v>24</v>
      </c>
    </row>
    <row r="22" spans="1:16">
      <c r="A22" s="12" t="s">
        <v>269</v>
      </c>
      <c r="B22" s="13">
        <v>87299</v>
      </c>
      <c r="C22" t="str">
        <f t="shared" si="0"/>
        <v>C</v>
      </c>
      <c r="F22" s="12" t="s">
        <v>64</v>
      </c>
      <c r="G22" s="23">
        <v>2.3057441533243416E-2</v>
      </c>
      <c r="H22" t="s">
        <v>13</v>
      </c>
      <c r="I22" t="s">
        <v>21</v>
      </c>
      <c r="J22">
        <v>396689</v>
      </c>
      <c r="M22" s="4"/>
      <c r="N22" s="4" t="s">
        <v>21</v>
      </c>
      <c r="O22" s="4" t="s">
        <v>20</v>
      </c>
      <c r="P22" s="4" t="s">
        <v>19</v>
      </c>
    </row>
    <row r="23" spans="1:16">
      <c r="A23" s="12" t="s">
        <v>115</v>
      </c>
      <c r="B23" s="13">
        <v>476581</v>
      </c>
      <c r="C23" t="str">
        <f t="shared" si="0"/>
        <v>C</v>
      </c>
      <c r="F23" s="12" t="s">
        <v>106</v>
      </c>
      <c r="G23" s="23">
        <v>2.2728148602932423E-2</v>
      </c>
      <c r="H23" t="s">
        <v>13</v>
      </c>
      <c r="I23" t="s">
        <v>21</v>
      </c>
      <c r="J23">
        <v>496400</v>
      </c>
      <c r="M23" s="4" t="s">
        <v>13</v>
      </c>
      <c r="N23" s="13">
        <v>27536105</v>
      </c>
      <c r="O23" s="13">
        <v>19443417</v>
      </c>
      <c r="P23" s="13">
        <v>18864255</v>
      </c>
    </row>
    <row r="24" spans="1:16">
      <c r="A24" s="12" t="s">
        <v>181</v>
      </c>
      <c r="B24" s="13">
        <v>101723</v>
      </c>
      <c r="C24" t="str">
        <f t="shared" si="0"/>
        <v>C</v>
      </c>
      <c r="F24" s="12" t="s">
        <v>143</v>
      </c>
      <c r="G24" s="23">
        <v>2.2416918099220147E-2</v>
      </c>
      <c r="H24" t="s">
        <v>13</v>
      </c>
      <c r="I24" t="s">
        <v>21</v>
      </c>
      <c r="J24">
        <v>676272</v>
      </c>
      <c r="M24" s="4" t="s">
        <v>14</v>
      </c>
      <c r="N24" s="13">
        <v>4907912</v>
      </c>
      <c r="O24" s="13">
        <v>3755298</v>
      </c>
      <c r="P24" s="13">
        <v>3769492</v>
      </c>
    </row>
    <row r="25" spans="1:16">
      <c r="A25" s="12" t="s">
        <v>207</v>
      </c>
      <c r="B25" s="13">
        <v>256396</v>
      </c>
      <c r="C25" t="str">
        <f t="shared" si="0"/>
        <v>C</v>
      </c>
      <c r="F25" s="12" t="s">
        <v>119</v>
      </c>
      <c r="G25" s="23">
        <v>2.2367499928580555E-2</v>
      </c>
      <c r="H25" t="s">
        <v>13</v>
      </c>
      <c r="I25" t="s">
        <v>21</v>
      </c>
      <c r="J25">
        <v>247879</v>
      </c>
      <c r="M25" s="4" t="s">
        <v>15</v>
      </c>
      <c r="N25" s="13">
        <v>1877262</v>
      </c>
      <c r="O25" s="13">
        <v>1057776</v>
      </c>
      <c r="P25" s="13">
        <v>1210679</v>
      </c>
    </row>
    <row r="26" spans="1:16">
      <c r="A26" s="12" t="s">
        <v>150</v>
      </c>
      <c r="B26" s="13">
        <v>172013</v>
      </c>
      <c r="C26" t="str">
        <f t="shared" si="0"/>
        <v>C</v>
      </c>
      <c r="F26" s="12" t="s">
        <v>283</v>
      </c>
      <c r="G26" s="23">
        <v>2.2362979589668097E-2</v>
      </c>
      <c r="H26" t="s">
        <v>13</v>
      </c>
      <c r="I26" t="s">
        <v>21</v>
      </c>
      <c r="J26">
        <v>406709</v>
      </c>
    </row>
    <row r="27" spans="1:16">
      <c r="A27" s="12" t="s">
        <v>224</v>
      </c>
      <c r="B27" s="13">
        <v>743301</v>
      </c>
      <c r="C27" t="str">
        <f t="shared" si="0"/>
        <v>C</v>
      </c>
      <c r="F27" s="12" t="s">
        <v>186</v>
      </c>
      <c r="G27" s="23">
        <v>2.2098189323226387E-2</v>
      </c>
      <c r="H27" t="s">
        <v>13</v>
      </c>
      <c r="I27" t="s">
        <v>21</v>
      </c>
      <c r="J27">
        <v>464356</v>
      </c>
    </row>
    <row r="28" spans="1:16">
      <c r="A28" s="12" t="s">
        <v>92</v>
      </c>
      <c r="B28" s="13">
        <v>446372</v>
      </c>
      <c r="C28" t="str">
        <f t="shared" si="0"/>
        <v>C</v>
      </c>
      <c r="F28" s="12" t="s">
        <v>258</v>
      </c>
      <c r="G28" s="23">
        <v>2.2030585801666516E-2</v>
      </c>
      <c r="H28" t="s">
        <v>13</v>
      </c>
      <c r="I28" t="s">
        <v>21</v>
      </c>
      <c r="J28">
        <v>674351</v>
      </c>
    </row>
    <row r="29" spans="1:16">
      <c r="A29" s="12" t="s">
        <v>82</v>
      </c>
      <c r="B29" s="13">
        <v>52915</v>
      </c>
      <c r="C29" t="str">
        <f t="shared" si="0"/>
        <v>C</v>
      </c>
      <c r="F29" s="12" t="s">
        <v>145</v>
      </c>
      <c r="G29" s="23">
        <v>2.1794846781781362E-2</v>
      </c>
      <c r="H29" t="s">
        <v>13</v>
      </c>
      <c r="I29" t="s">
        <v>21</v>
      </c>
      <c r="J29">
        <v>315469</v>
      </c>
    </row>
    <row r="30" spans="1:16">
      <c r="A30" s="12" t="s">
        <v>67</v>
      </c>
      <c r="B30" s="13">
        <v>1950239</v>
      </c>
      <c r="C30" t="str">
        <f t="shared" si="0"/>
        <v>C</v>
      </c>
      <c r="F30" s="12" t="s">
        <v>78</v>
      </c>
      <c r="G30" s="23">
        <v>2.1744975997733406E-2</v>
      </c>
      <c r="H30" t="s">
        <v>13</v>
      </c>
      <c r="I30" t="s">
        <v>21</v>
      </c>
      <c r="J30">
        <v>1046347</v>
      </c>
      <c r="N30" s="27">
        <v>0</v>
      </c>
      <c r="O30" s="28" t="s">
        <v>21</v>
      </c>
    </row>
    <row r="31" spans="1:16">
      <c r="A31" s="12" t="s">
        <v>84</v>
      </c>
      <c r="B31" s="13">
        <v>110600</v>
      </c>
      <c r="C31" t="str">
        <f t="shared" si="0"/>
        <v>C</v>
      </c>
      <c r="F31" s="12" t="s">
        <v>235</v>
      </c>
      <c r="G31" s="23">
        <v>2.0861285824829424E-2</v>
      </c>
      <c r="H31" t="s">
        <v>13</v>
      </c>
      <c r="I31" t="s">
        <v>21</v>
      </c>
      <c r="J31">
        <v>221902</v>
      </c>
      <c r="N31" s="27">
        <v>0.1</v>
      </c>
      <c r="O31" s="28" t="s">
        <v>20</v>
      </c>
    </row>
    <row r="32" spans="1:16">
      <c r="A32" s="12" t="s">
        <v>266</v>
      </c>
      <c r="B32" s="13">
        <v>153941</v>
      </c>
      <c r="C32" t="str">
        <f t="shared" si="0"/>
        <v>C</v>
      </c>
      <c r="F32" s="12" t="s">
        <v>199</v>
      </c>
      <c r="G32" s="23">
        <v>2.0801285741647805E-2</v>
      </c>
      <c r="H32" t="s">
        <v>13</v>
      </c>
      <c r="I32" t="s">
        <v>21</v>
      </c>
      <c r="J32">
        <v>1012313</v>
      </c>
      <c r="N32" s="27">
        <v>0.25</v>
      </c>
      <c r="O32" s="28" t="s">
        <v>19</v>
      </c>
    </row>
    <row r="33" spans="1:15">
      <c r="A33" s="12" t="s">
        <v>141</v>
      </c>
      <c r="B33" s="13">
        <v>1021849</v>
      </c>
      <c r="C33" t="str">
        <f t="shared" si="0"/>
        <v>C</v>
      </c>
      <c r="F33" s="12" t="s">
        <v>110</v>
      </c>
      <c r="G33" s="23">
        <v>2.0626632864350809E-2</v>
      </c>
      <c r="H33" t="s">
        <v>13</v>
      </c>
      <c r="I33" t="s">
        <v>21</v>
      </c>
      <c r="J33">
        <v>1011121</v>
      </c>
    </row>
    <row r="34" spans="1:15">
      <c r="A34" s="12" t="s">
        <v>222</v>
      </c>
      <c r="B34" s="13">
        <v>401747</v>
      </c>
      <c r="C34" t="str">
        <f t="shared" si="0"/>
        <v>C</v>
      </c>
      <c r="F34" s="12" t="s">
        <v>210</v>
      </c>
      <c r="G34" s="23">
        <v>2.0610236405881971E-2</v>
      </c>
      <c r="H34" t="s">
        <v>13</v>
      </c>
      <c r="I34" t="s">
        <v>21</v>
      </c>
      <c r="J34">
        <v>1336720</v>
      </c>
      <c r="N34" s="34">
        <v>0</v>
      </c>
      <c r="O34" s="35" t="s">
        <v>13</v>
      </c>
    </row>
    <row r="35" spans="1:15">
      <c r="A35" s="12" t="s">
        <v>185</v>
      </c>
      <c r="B35" s="13">
        <v>107523</v>
      </c>
      <c r="C35" t="str">
        <f t="shared" si="0"/>
        <v>C</v>
      </c>
      <c r="F35" s="12" t="s">
        <v>115</v>
      </c>
      <c r="G35" s="23">
        <v>2.0303802962012292E-2</v>
      </c>
      <c r="H35" t="s">
        <v>13</v>
      </c>
      <c r="I35" t="s">
        <v>21</v>
      </c>
      <c r="J35">
        <v>476581</v>
      </c>
      <c r="N35" s="34">
        <v>0.8</v>
      </c>
      <c r="O35" s="35" t="s">
        <v>14</v>
      </c>
    </row>
    <row r="36" spans="1:15">
      <c r="A36" s="12" t="s">
        <v>278</v>
      </c>
      <c r="B36" s="13">
        <v>114021</v>
      </c>
      <c r="C36" t="str">
        <f t="shared" si="0"/>
        <v>C</v>
      </c>
      <c r="F36" s="12" t="s">
        <v>116</v>
      </c>
      <c r="G36" s="23">
        <v>2.0187105704463502E-2</v>
      </c>
      <c r="H36" t="s">
        <v>13</v>
      </c>
      <c r="I36" t="s">
        <v>21</v>
      </c>
      <c r="J36">
        <v>1332843</v>
      </c>
      <c r="N36" s="34">
        <v>0.95</v>
      </c>
      <c r="O36" s="35" t="s">
        <v>15</v>
      </c>
    </row>
    <row r="37" spans="1:15">
      <c r="A37" s="12" t="s">
        <v>268</v>
      </c>
      <c r="B37" s="13">
        <v>403440</v>
      </c>
      <c r="C37" t="str">
        <f t="shared" si="0"/>
        <v>C</v>
      </c>
      <c r="F37" s="12" t="s">
        <v>95</v>
      </c>
      <c r="G37" s="23">
        <v>1.9798809735649167E-2</v>
      </c>
      <c r="H37" t="s">
        <v>13</v>
      </c>
      <c r="I37" t="s">
        <v>21</v>
      </c>
      <c r="J37">
        <v>1076932</v>
      </c>
    </row>
    <row r="38" spans="1:15">
      <c r="A38" s="12" t="s">
        <v>135</v>
      </c>
      <c r="B38" s="13">
        <v>869292</v>
      </c>
      <c r="C38" t="str">
        <f t="shared" si="0"/>
        <v>C</v>
      </c>
      <c r="F38" s="12" t="s">
        <v>192</v>
      </c>
      <c r="G38" s="23">
        <v>1.8961018940159197E-2</v>
      </c>
      <c r="H38" t="s">
        <v>13</v>
      </c>
      <c r="I38" t="s">
        <v>21</v>
      </c>
      <c r="J38">
        <v>330631</v>
      </c>
    </row>
    <row r="39" spans="1:15">
      <c r="A39" s="12" t="s">
        <v>155</v>
      </c>
      <c r="B39" s="13">
        <v>100294</v>
      </c>
      <c r="C39" t="str">
        <f t="shared" si="0"/>
        <v>C</v>
      </c>
      <c r="F39" s="12" t="s">
        <v>118</v>
      </c>
      <c r="G39" s="23">
        <v>1.699788542453368E-2</v>
      </c>
      <c r="H39" t="s">
        <v>13</v>
      </c>
      <c r="I39" t="s">
        <v>21</v>
      </c>
      <c r="J39">
        <v>1087017</v>
      </c>
    </row>
    <row r="40" spans="1:15">
      <c r="A40" s="12" t="s">
        <v>128</v>
      </c>
      <c r="B40" s="13">
        <v>229598</v>
      </c>
      <c r="C40" t="str">
        <f t="shared" si="0"/>
        <v>C</v>
      </c>
      <c r="F40" s="12" t="s">
        <v>166</v>
      </c>
      <c r="G40" s="23">
        <v>1.6797505898773511E-2</v>
      </c>
      <c r="H40" t="s">
        <v>13</v>
      </c>
      <c r="I40" t="s">
        <v>21</v>
      </c>
      <c r="J40">
        <v>503387</v>
      </c>
    </row>
    <row r="41" spans="1:15">
      <c r="A41" s="12" t="s">
        <v>77</v>
      </c>
      <c r="B41" s="13">
        <v>1280970</v>
      </c>
      <c r="C41" t="str">
        <f t="shared" si="0"/>
        <v>C</v>
      </c>
      <c r="F41" s="12" t="s">
        <v>250</v>
      </c>
      <c r="G41" s="23">
        <v>1.6306885295884439E-2</v>
      </c>
      <c r="H41" t="s">
        <v>13</v>
      </c>
      <c r="I41" t="s">
        <v>21</v>
      </c>
      <c r="J41">
        <v>319409</v>
      </c>
    </row>
    <row r="42" spans="1:15">
      <c r="A42" s="12" t="s">
        <v>107</v>
      </c>
      <c r="B42" s="13">
        <v>748893</v>
      </c>
      <c r="C42" t="str">
        <f t="shared" si="0"/>
        <v>C</v>
      </c>
      <c r="F42" s="12" t="s">
        <v>108</v>
      </c>
      <c r="G42" s="23">
        <v>1.5967323877980121E-2</v>
      </c>
      <c r="H42" t="s">
        <v>13</v>
      </c>
      <c r="I42" t="s">
        <v>21</v>
      </c>
      <c r="J42">
        <v>697695</v>
      </c>
    </row>
    <row r="43" spans="1:15">
      <c r="A43" s="12" t="s">
        <v>100</v>
      </c>
      <c r="B43" s="13">
        <v>213016</v>
      </c>
      <c r="C43" t="str">
        <f t="shared" si="0"/>
        <v>C</v>
      </c>
      <c r="F43" s="12" t="s">
        <v>165</v>
      </c>
      <c r="G43" s="23">
        <v>1.5712357293015625E-2</v>
      </c>
      <c r="H43" t="s">
        <v>13</v>
      </c>
      <c r="I43" t="s">
        <v>21</v>
      </c>
      <c r="J43">
        <v>290039</v>
      </c>
    </row>
    <row r="44" spans="1:15">
      <c r="A44" s="12" t="s">
        <v>180</v>
      </c>
      <c r="B44" s="13">
        <v>118410</v>
      </c>
      <c r="C44" t="str">
        <f t="shared" si="0"/>
        <v>C</v>
      </c>
      <c r="F44" s="12" t="s">
        <v>197</v>
      </c>
      <c r="G44" s="23">
        <v>1.5251210650113626E-2</v>
      </c>
      <c r="H44" t="s">
        <v>13</v>
      </c>
      <c r="I44" t="s">
        <v>21</v>
      </c>
      <c r="J44">
        <v>587659</v>
      </c>
    </row>
    <row r="45" spans="1:15">
      <c r="A45" s="12" t="s">
        <v>211</v>
      </c>
      <c r="B45" s="13">
        <v>477086</v>
      </c>
      <c r="C45" t="str">
        <f t="shared" si="0"/>
        <v>C</v>
      </c>
      <c r="F45" s="12" t="s">
        <v>277</v>
      </c>
      <c r="G45" s="23">
        <v>1.3978085661395688E-2</v>
      </c>
      <c r="H45" t="s">
        <v>13</v>
      </c>
      <c r="I45" t="s">
        <v>21</v>
      </c>
      <c r="J45">
        <v>232657</v>
      </c>
    </row>
    <row r="46" spans="1:15">
      <c r="A46" s="29" t="s">
        <v>259</v>
      </c>
      <c r="B46" s="30">
        <v>303306</v>
      </c>
      <c r="C46" t="str">
        <f t="shared" si="0"/>
        <v>C</v>
      </c>
      <c r="F46" s="12" t="s">
        <v>293</v>
      </c>
      <c r="G46" s="23">
        <v>1.2376196257228479E-2</v>
      </c>
      <c r="H46" t="s">
        <v>13</v>
      </c>
      <c r="I46" t="s">
        <v>21</v>
      </c>
      <c r="J46">
        <v>386191</v>
      </c>
    </row>
    <row r="47" spans="1:15">
      <c r="A47" s="12" t="s">
        <v>85</v>
      </c>
      <c r="B47" s="13">
        <v>117168</v>
      </c>
      <c r="C47" t="str">
        <f t="shared" si="0"/>
        <v>C</v>
      </c>
      <c r="F47" s="12" t="s">
        <v>292</v>
      </c>
      <c r="G47" s="23">
        <v>0.23244398852369808</v>
      </c>
      <c r="H47" t="s">
        <v>13</v>
      </c>
      <c r="I47" t="s">
        <v>20</v>
      </c>
      <c r="J47">
        <v>412862</v>
      </c>
    </row>
    <row r="48" spans="1:15">
      <c r="A48" s="12" t="s">
        <v>111</v>
      </c>
      <c r="B48" s="13">
        <v>249675</v>
      </c>
      <c r="C48" t="str">
        <f t="shared" si="0"/>
        <v>C</v>
      </c>
      <c r="F48" s="12" t="s">
        <v>131</v>
      </c>
      <c r="G48" s="23">
        <v>0.2247565364374354</v>
      </c>
      <c r="H48" t="s">
        <v>13</v>
      </c>
      <c r="I48" t="s">
        <v>20</v>
      </c>
      <c r="J48">
        <v>325106</v>
      </c>
    </row>
    <row r="49" spans="1:10">
      <c r="A49" s="12" t="s">
        <v>93</v>
      </c>
      <c r="B49" s="13">
        <v>1107364</v>
      </c>
      <c r="C49" t="str">
        <f t="shared" si="0"/>
        <v>C</v>
      </c>
      <c r="F49" s="12" t="s">
        <v>79</v>
      </c>
      <c r="G49" s="23">
        <v>0.20352355866848951</v>
      </c>
      <c r="H49" t="s">
        <v>13</v>
      </c>
      <c r="I49" t="s">
        <v>20</v>
      </c>
      <c r="J49">
        <v>974474</v>
      </c>
    </row>
    <row r="50" spans="1:10">
      <c r="A50" s="12" t="s">
        <v>145</v>
      </c>
      <c r="B50" s="13">
        <v>315469</v>
      </c>
      <c r="C50" t="str">
        <f t="shared" si="0"/>
        <v>C</v>
      </c>
      <c r="F50" s="12" t="s">
        <v>154</v>
      </c>
      <c r="G50" s="23">
        <v>0.19653597000984768</v>
      </c>
      <c r="H50" t="s">
        <v>13</v>
      </c>
      <c r="I50" t="s">
        <v>20</v>
      </c>
      <c r="J50">
        <v>278945</v>
      </c>
    </row>
    <row r="51" spans="1:10">
      <c r="A51" s="12" t="s">
        <v>264</v>
      </c>
      <c r="B51" s="13">
        <v>182350</v>
      </c>
      <c r="C51" t="str">
        <f t="shared" si="0"/>
        <v>C</v>
      </c>
      <c r="F51" s="12" t="s">
        <v>146</v>
      </c>
      <c r="G51" s="23">
        <v>0.19326278846729095</v>
      </c>
      <c r="H51" t="s">
        <v>13</v>
      </c>
      <c r="I51" t="s">
        <v>20</v>
      </c>
      <c r="J51">
        <v>220802</v>
      </c>
    </row>
    <row r="52" spans="1:10">
      <c r="A52" s="12" t="s">
        <v>165</v>
      </c>
      <c r="B52" s="13">
        <v>290039</v>
      </c>
      <c r="C52" t="str">
        <f t="shared" si="0"/>
        <v>C</v>
      </c>
      <c r="F52" s="12" t="s">
        <v>128</v>
      </c>
      <c r="G52" s="23">
        <v>0.18660726645082018</v>
      </c>
      <c r="H52" t="s">
        <v>13</v>
      </c>
      <c r="I52" t="s">
        <v>20</v>
      </c>
      <c r="J52">
        <v>229598</v>
      </c>
    </row>
    <row r="53" spans="1:10">
      <c r="A53" s="12" t="s">
        <v>237</v>
      </c>
      <c r="B53" s="13">
        <v>73356</v>
      </c>
      <c r="C53" t="str">
        <f t="shared" si="0"/>
        <v>C</v>
      </c>
      <c r="F53" s="12" t="s">
        <v>81</v>
      </c>
      <c r="G53" s="23">
        <v>0.1820647323522577</v>
      </c>
      <c r="H53" t="s">
        <v>13</v>
      </c>
      <c r="I53" t="s">
        <v>20</v>
      </c>
      <c r="J53">
        <v>554179</v>
      </c>
    </row>
    <row r="54" spans="1:10">
      <c r="A54" s="12" t="s">
        <v>152</v>
      </c>
      <c r="B54" s="13">
        <v>699732</v>
      </c>
      <c r="C54" t="str">
        <f t="shared" si="0"/>
        <v>C</v>
      </c>
      <c r="F54" s="12" t="s">
        <v>265</v>
      </c>
      <c r="G54" s="23">
        <v>0.18048014219790601</v>
      </c>
      <c r="H54" t="s">
        <v>13</v>
      </c>
      <c r="I54" t="s">
        <v>20</v>
      </c>
      <c r="J54">
        <v>249130</v>
      </c>
    </row>
    <row r="55" spans="1:10">
      <c r="A55" s="12" t="s">
        <v>212</v>
      </c>
      <c r="B55" s="13">
        <v>107732</v>
      </c>
      <c r="C55" t="str">
        <f t="shared" si="0"/>
        <v>C</v>
      </c>
      <c r="F55" s="12" t="s">
        <v>93</v>
      </c>
      <c r="G55" s="23">
        <v>0.17966028816127988</v>
      </c>
      <c r="H55" t="s">
        <v>13</v>
      </c>
      <c r="I55" t="s">
        <v>20</v>
      </c>
      <c r="J55">
        <v>1107364</v>
      </c>
    </row>
    <row r="56" spans="1:10">
      <c r="A56" s="12" t="s">
        <v>138</v>
      </c>
      <c r="B56" s="13">
        <v>102822</v>
      </c>
      <c r="C56" t="str">
        <f t="shared" si="0"/>
        <v>C</v>
      </c>
      <c r="F56" s="12" t="s">
        <v>76</v>
      </c>
      <c r="G56" s="23">
        <v>0.17927432704653609</v>
      </c>
      <c r="H56" t="s">
        <v>13</v>
      </c>
      <c r="I56" t="s">
        <v>20</v>
      </c>
      <c r="J56">
        <v>629188</v>
      </c>
    </row>
    <row r="57" spans="1:10">
      <c r="A57" s="12" t="s">
        <v>104</v>
      </c>
      <c r="B57" s="13">
        <v>310580</v>
      </c>
      <c r="C57" t="str">
        <f t="shared" si="0"/>
        <v>C</v>
      </c>
      <c r="F57" s="12" t="s">
        <v>70</v>
      </c>
      <c r="G57" s="23">
        <v>0.17891090362827433</v>
      </c>
      <c r="H57" t="s">
        <v>13</v>
      </c>
      <c r="I57" t="s">
        <v>20</v>
      </c>
      <c r="J57">
        <v>812482</v>
      </c>
    </row>
    <row r="58" spans="1:10">
      <c r="A58" s="12" t="s">
        <v>137</v>
      </c>
      <c r="B58" s="13">
        <v>267641</v>
      </c>
      <c r="C58" t="str">
        <f t="shared" si="0"/>
        <v>C</v>
      </c>
      <c r="F58" s="12" t="s">
        <v>169</v>
      </c>
      <c r="G58" s="23">
        <v>0.17661156287271598</v>
      </c>
      <c r="H58" t="s">
        <v>13</v>
      </c>
      <c r="I58" t="s">
        <v>20</v>
      </c>
      <c r="J58">
        <v>784850</v>
      </c>
    </row>
    <row r="59" spans="1:10">
      <c r="A59" s="12" t="s">
        <v>72</v>
      </c>
      <c r="B59" s="13">
        <v>206806</v>
      </c>
      <c r="C59" t="str">
        <f t="shared" si="0"/>
        <v>C</v>
      </c>
      <c r="F59" s="12" t="s">
        <v>92</v>
      </c>
      <c r="G59" s="23">
        <v>0.17435526493113185</v>
      </c>
      <c r="H59" t="s">
        <v>13</v>
      </c>
      <c r="I59" t="s">
        <v>20</v>
      </c>
      <c r="J59">
        <v>446372</v>
      </c>
    </row>
    <row r="60" spans="1:10">
      <c r="A60" s="12" t="s">
        <v>149</v>
      </c>
      <c r="B60" s="13">
        <v>119685</v>
      </c>
      <c r="C60" t="str">
        <f t="shared" si="0"/>
        <v>C</v>
      </c>
      <c r="F60" s="12" t="s">
        <v>152</v>
      </c>
      <c r="G60" s="23">
        <v>0.17370859423865634</v>
      </c>
      <c r="H60" t="s">
        <v>13</v>
      </c>
      <c r="I60" t="s">
        <v>20</v>
      </c>
      <c r="J60">
        <v>699732</v>
      </c>
    </row>
    <row r="61" spans="1:10">
      <c r="A61" s="12" t="s">
        <v>255</v>
      </c>
      <c r="B61" s="13">
        <v>108505</v>
      </c>
      <c r="C61" t="str">
        <f t="shared" si="0"/>
        <v>C</v>
      </c>
      <c r="F61" s="12" t="s">
        <v>194</v>
      </c>
      <c r="G61" s="23">
        <v>0.17165555796625584</v>
      </c>
      <c r="H61" t="s">
        <v>13</v>
      </c>
      <c r="I61" t="s">
        <v>20</v>
      </c>
      <c r="J61">
        <v>288422</v>
      </c>
    </row>
    <row r="62" spans="1:10">
      <c r="A62" s="12" t="s">
        <v>102</v>
      </c>
      <c r="B62" s="13">
        <v>519961</v>
      </c>
      <c r="C62" t="str">
        <f t="shared" si="0"/>
        <v>C</v>
      </c>
      <c r="F62" s="12" t="s">
        <v>290</v>
      </c>
      <c r="G62" s="23">
        <v>0.17133403454199367</v>
      </c>
      <c r="H62" t="s">
        <v>13</v>
      </c>
      <c r="I62" t="s">
        <v>20</v>
      </c>
      <c r="J62">
        <v>219816</v>
      </c>
    </row>
    <row r="63" spans="1:10">
      <c r="A63" s="12" t="s">
        <v>204</v>
      </c>
      <c r="B63" s="13">
        <v>199631</v>
      </c>
      <c r="C63" t="str">
        <f t="shared" si="0"/>
        <v>C</v>
      </c>
      <c r="F63" s="12" t="s">
        <v>178</v>
      </c>
      <c r="G63" s="23">
        <v>0.17016215332877135</v>
      </c>
      <c r="H63" t="s">
        <v>13</v>
      </c>
      <c r="I63" t="s">
        <v>20</v>
      </c>
      <c r="J63">
        <v>1135927</v>
      </c>
    </row>
    <row r="64" spans="1:10">
      <c r="A64" s="12" t="s">
        <v>94</v>
      </c>
      <c r="B64" s="13">
        <v>1097505</v>
      </c>
      <c r="C64" t="str">
        <f t="shared" si="0"/>
        <v>C</v>
      </c>
      <c r="F64" s="12" t="s">
        <v>91</v>
      </c>
      <c r="G64" s="23">
        <v>0.16532491675180727</v>
      </c>
      <c r="H64" t="s">
        <v>13</v>
      </c>
      <c r="I64" t="s">
        <v>20</v>
      </c>
      <c r="J64">
        <v>343654</v>
      </c>
    </row>
    <row r="65" spans="1:10">
      <c r="A65" s="12" t="s">
        <v>196</v>
      </c>
      <c r="B65" s="13">
        <v>110360</v>
      </c>
      <c r="C65" t="str">
        <f t="shared" si="0"/>
        <v>C</v>
      </c>
      <c r="F65" s="12" t="s">
        <v>213</v>
      </c>
      <c r="G65" s="23">
        <v>0.16385077932040337</v>
      </c>
      <c r="H65" t="s">
        <v>13</v>
      </c>
      <c r="I65" t="s">
        <v>20</v>
      </c>
      <c r="J65">
        <v>300031</v>
      </c>
    </row>
    <row r="66" spans="1:10">
      <c r="A66" s="12" t="s">
        <v>227</v>
      </c>
      <c r="B66" s="13">
        <v>114462</v>
      </c>
      <c r="C66" t="str">
        <f t="shared" si="0"/>
        <v>C</v>
      </c>
      <c r="F66" s="12" t="s">
        <v>268</v>
      </c>
      <c r="G66" s="23">
        <v>0.16243636892947805</v>
      </c>
      <c r="H66" t="s">
        <v>13</v>
      </c>
      <c r="I66" t="s">
        <v>20</v>
      </c>
      <c r="J66">
        <v>403440</v>
      </c>
    </row>
    <row r="67" spans="1:10">
      <c r="A67" s="12" t="s">
        <v>215</v>
      </c>
      <c r="B67" s="13">
        <v>117827</v>
      </c>
      <c r="C67" t="str">
        <f t="shared" ref="C67:C130" si="1">VLOOKUP(B67,$N$34:$O$36,2,1)</f>
        <v>C</v>
      </c>
      <c r="F67" s="12" t="s">
        <v>122</v>
      </c>
      <c r="G67" s="23">
        <v>0.16013192494705308</v>
      </c>
      <c r="H67" t="s">
        <v>13</v>
      </c>
      <c r="I67" t="s">
        <v>20</v>
      </c>
      <c r="J67">
        <v>667684</v>
      </c>
    </row>
    <row r="68" spans="1:10">
      <c r="A68" s="12" t="s">
        <v>205</v>
      </c>
      <c r="B68" s="13">
        <v>560348</v>
      </c>
      <c r="C68" t="str">
        <f t="shared" si="1"/>
        <v>C</v>
      </c>
      <c r="F68" s="12" t="s">
        <v>63</v>
      </c>
      <c r="G68" s="23">
        <v>0.15524169040442887</v>
      </c>
      <c r="H68" t="s">
        <v>13</v>
      </c>
      <c r="I68" t="s">
        <v>20</v>
      </c>
      <c r="J68">
        <v>488621</v>
      </c>
    </row>
    <row r="69" spans="1:10">
      <c r="A69" s="12" t="s">
        <v>173</v>
      </c>
      <c r="B69" s="13">
        <v>200485</v>
      </c>
      <c r="C69" t="str">
        <f t="shared" si="1"/>
        <v>C</v>
      </c>
      <c r="F69" s="12" t="s">
        <v>137</v>
      </c>
      <c r="G69" s="23">
        <v>0.15474008563216976</v>
      </c>
      <c r="H69" t="s">
        <v>13</v>
      </c>
      <c r="I69" t="s">
        <v>20</v>
      </c>
      <c r="J69">
        <v>267641</v>
      </c>
    </row>
    <row r="70" spans="1:10">
      <c r="A70" s="12" t="s">
        <v>182</v>
      </c>
      <c r="B70" s="13">
        <v>123347</v>
      </c>
      <c r="C70" t="str">
        <f t="shared" si="1"/>
        <v>C</v>
      </c>
      <c r="F70" s="12" t="s">
        <v>57</v>
      </c>
      <c r="G70" s="23">
        <v>0.15463029491093669</v>
      </c>
      <c r="H70" t="s">
        <v>13</v>
      </c>
      <c r="I70" t="s">
        <v>20</v>
      </c>
      <c r="J70">
        <v>520288</v>
      </c>
    </row>
    <row r="71" spans="1:10">
      <c r="A71" s="12" t="s">
        <v>284</v>
      </c>
      <c r="B71" s="13">
        <v>632970</v>
      </c>
      <c r="C71" t="str">
        <f t="shared" si="1"/>
        <v>C</v>
      </c>
      <c r="F71" s="12" t="s">
        <v>109</v>
      </c>
      <c r="G71" s="23">
        <v>0.15421211719568659</v>
      </c>
      <c r="H71" t="s">
        <v>13</v>
      </c>
      <c r="I71" t="s">
        <v>20</v>
      </c>
      <c r="J71">
        <v>1405256</v>
      </c>
    </row>
    <row r="72" spans="1:10">
      <c r="A72" s="12" t="s">
        <v>121</v>
      </c>
      <c r="B72" s="13">
        <v>1207758</v>
      </c>
      <c r="C72" t="str">
        <f t="shared" si="1"/>
        <v>C</v>
      </c>
      <c r="F72" s="12" t="s">
        <v>168</v>
      </c>
      <c r="G72" s="23">
        <v>0.15372817536678007</v>
      </c>
      <c r="H72" t="s">
        <v>13</v>
      </c>
      <c r="I72" t="s">
        <v>20</v>
      </c>
      <c r="J72">
        <v>974284</v>
      </c>
    </row>
    <row r="73" spans="1:10">
      <c r="A73" s="12" t="s">
        <v>58</v>
      </c>
      <c r="B73" s="13">
        <v>100201</v>
      </c>
      <c r="C73" t="str">
        <f t="shared" si="1"/>
        <v>C</v>
      </c>
      <c r="F73" s="12" t="s">
        <v>205</v>
      </c>
      <c r="G73" s="23">
        <v>0.14541093228258947</v>
      </c>
      <c r="H73" t="s">
        <v>13</v>
      </c>
      <c r="I73" t="s">
        <v>20</v>
      </c>
      <c r="J73">
        <v>560348</v>
      </c>
    </row>
    <row r="74" spans="1:10">
      <c r="A74" s="12" t="s">
        <v>285</v>
      </c>
      <c r="B74" s="13">
        <v>258435</v>
      </c>
      <c r="C74" t="str">
        <f t="shared" si="1"/>
        <v>C</v>
      </c>
      <c r="F74" s="12" t="s">
        <v>206</v>
      </c>
      <c r="G74" s="23">
        <v>0.14358294136374603</v>
      </c>
      <c r="H74" t="s">
        <v>13</v>
      </c>
      <c r="I74" t="s">
        <v>20</v>
      </c>
      <c r="J74">
        <v>325278</v>
      </c>
    </row>
    <row r="75" spans="1:10">
      <c r="A75" s="12" t="s">
        <v>126</v>
      </c>
      <c r="B75" s="13">
        <v>133665</v>
      </c>
      <c r="C75" t="str">
        <f t="shared" si="1"/>
        <v>C</v>
      </c>
      <c r="F75" s="12" t="s">
        <v>68</v>
      </c>
      <c r="G75" s="23">
        <v>0.14334567773737186</v>
      </c>
      <c r="H75" t="s">
        <v>13</v>
      </c>
      <c r="I75" t="s">
        <v>20</v>
      </c>
      <c r="J75">
        <v>1130571</v>
      </c>
    </row>
    <row r="76" spans="1:10">
      <c r="A76" s="12" t="s">
        <v>175</v>
      </c>
      <c r="B76" s="13">
        <v>704499</v>
      </c>
      <c r="C76" t="str">
        <f t="shared" si="1"/>
        <v>C</v>
      </c>
      <c r="F76" s="12" t="s">
        <v>107</v>
      </c>
      <c r="G76" s="23">
        <v>0.13569734381736631</v>
      </c>
      <c r="H76" t="s">
        <v>13</v>
      </c>
      <c r="I76" t="s">
        <v>20</v>
      </c>
      <c r="J76">
        <v>748893</v>
      </c>
    </row>
    <row r="77" spans="1:10">
      <c r="A77" s="12" t="s">
        <v>202</v>
      </c>
      <c r="B77" s="13">
        <v>96164</v>
      </c>
      <c r="C77" t="str">
        <f t="shared" si="1"/>
        <v>C</v>
      </c>
      <c r="F77" s="12" t="s">
        <v>111</v>
      </c>
      <c r="G77" s="23">
        <v>0.12616217710260419</v>
      </c>
      <c r="H77" t="s">
        <v>13</v>
      </c>
      <c r="I77" t="s">
        <v>20</v>
      </c>
      <c r="J77">
        <v>249675</v>
      </c>
    </row>
    <row r="78" spans="1:10">
      <c r="A78" s="12" t="s">
        <v>233</v>
      </c>
      <c r="B78" s="13">
        <v>160626</v>
      </c>
      <c r="C78" t="str">
        <f t="shared" si="1"/>
        <v>C</v>
      </c>
      <c r="F78" s="12" t="s">
        <v>90</v>
      </c>
      <c r="G78" s="23">
        <v>0.12600714571938687</v>
      </c>
      <c r="H78" t="s">
        <v>13</v>
      </c>
      <c r="I78" t="s">
        <v>20</v>
      </c>
      <c r="J78">
        <v>480746</v>
      </c>
    </row>
    <row r="79" spans="1:10">
      <c r="A79" s="12" t="s">
        <v>159</v>
      </c>
      <c r="B79" s="13">
        <v>118902</v>
      </c>
      <c r="C79" t="str">
        <f t="shared" si="1"/>
        <v>C</v>
      </c>
      <c r="F79" s="12" t="s">
        <v>121</v>
      </c>
      <c r="G79" s="23">
        <v>0.12050503192693231</v>
      </c>
      <c r="H79" t="s">
        <v>13</v>
      </c>
      <c r="I79" t="s">
        <v>20</v>
      </c>
      <c r="J79">
        <v>1207758</v>
      </c>
    </row>
    <row r="80" spans="1:10">
      <c r="A80" s="12" t="s">
        <v>90</v>
      </c>
      <c r="B80" s="13">
        <v>480746</v>
      </c>
      <c r="C80" t="str">
        <f t="shared" si="1"/>
        <v>C</v>
      </c>
      <c r="F80" s="12" t="s">
        <v>276</v>
      </c>
      <c r="G80" s="23">
        <v>0.91244371588280548</v>
      </c>
      <c r="H80" t="s">
        <v>13</v>
      </c>
      <c r="I80" t="s">
        <v>19</v>
      </c>
      <c r="J80">
        <v>388242</v>
      </c>
    </row>
    <row r="81" spans="1:10">
      <c r="A81" s="12" t="s">
        <v>81</v>
      </c>
      <c r="B81" s="13">
        <v>554179</v>
      </c>
      <c r="C81" t="str">
        <f t="shared" si="1"/>
        <v>C</v>
      </c>
      <c r="F81" s="29" t="s">
        <v>259</v>
      </c>
      <c r="G81" s="23">
        <v>0.86841710668940519</v>
      </c>
      <c r="H81" t="s">
        <v>13</v>
      </c>
      <c r="I81" t="s">
        <v>19</v>
      </c>
      <c r="J81">
        <v>303306</v>
      </c>
    </row>
    <row r="82" spans="1:10">
      <c r="A82" s="12" t="s">
        <v>276</v>
      </c>
      <c r="B82" s="13">
        <v>388242</v>
      </c>
      <c r="C82" t="str">
        <f t="shared" si="1"/>
        <v>C</v>
      </c>
      <c r="F82" s="12" t="s">
        <v>65</v>
      </c>
      <c r="G82" s="23">
        <v>0.75822839004709042</v>
      </c>
      <c r="H82" t="s">
        <v>13</v>
      </c>
      <c r="I82" t="s">
        <v>19</v>
      </c>
      <c r="J82">
        <v>387210</v>
      </c>
    </row>
    <row r="83" spans="1:10">
      <c r="A83" s="12" t="s">
        <v>239</v>
      </c>
      <c r="B83" s="13">
        <v>197477</v>
      </c>
      <c r="C83" t="str">
        <f t="shared" si="1"/>
        <v>C</v>
      </c>
      <c r="F83" s="12" t="s">
        <v>71</v>
      </c>
      <c r="G83" s="23">
        <v>0.73651852172520693</v>
      </c>
      <c r="H83" t="s">
        <v>13</v>
      </c>
      <c r="I83" t="s">
        <v>19</v>
      </c>
      <c r="J83">
        <v>1061619</v>
      </c>
    </row>
    <row r="84" spans="1:10">
      <c r="A84" s="12" t="s">
        <v>123</v>
      </c>
      <c r="B84" s="13">
        <v>244248</v>
      </c>
      <c r="C84" t="str">
        <f t="shared" si="1"/>
        <v>C</v>
      </c>
      <c r="F84" s="12" t="s">
        <v>151</v>
      </c>
      <c r="G84" s="23">
        <v>0.7181095512224035</v>
      </c>
      <c r="H84" t="s">
        <v>13</v>
      </c>
      <c r="I84" t="s">
        <v>19</v>
      </c>
      <c r="J84">
        <v>471610</v>
      </c>
    </row>
    <row r="85" spans="1:10">
      <c r="A85" s="12" t="s">
        <v>140</v>
      </c>
      <c r="B85" s="13">
        <v>101198</v>
      </c>
      <c r="C85" t="str">
        <f t="shared" si="1"/>
        <v>C</v>
      </c>
      <c r="F85" s="12" t="s">
        <v>167</v>
      </c>
      <c r="G85" s="23">
        <v>0.71509914618550618</v>
      </c>
      <c r="H85" t="s">
        <v>13</v>
      </c>
      <c r="I85" t="s">
        <v>19</v>
      </c>
      <c r="J85">
        <v>420097</v>
      </c>
    </row>
    <row r="86" spans="1:10">
      <c r="A86" s="12" t="s">
        <v>280</v>
      </c>
      <c r="B86" s="13">
        <v>178928</v>
      </c>
      <c r="C86" t="str">
        <f t="shared" si="1"/>
        <v>C</v>
      </c>
      <c r="F86" s="12" t="s">
        <v>123</v>
      </c>
      <c r="G86" s="23">
        <v>0.69381077876376662</v>
      </c>
      <c r="H86" t="s">
        <v>13</v>
      </c>
      <c r="I86" t="s">
        <v>19</v>
      </c>
      <c r="J86">
        <v>244248</v>
      </c>
    </row>
    <row r="87" spans="1:10">
      <c r="A87" s="12" t="s">
        <v>57</v>
      </c>
      <c r="B87" s="13">
        <v>520288</v>
      </c>
      <c r="C87" t="str">
        <f t="shared" si="1"/>
        <v>C</v>
      </c>
      <c r="F87" s="12" t="s">
        <v>77</v>
      </c>
      <c r="G87" s="23">
        <v>0.6927335224721024</v>
      </c>
      <c r="H87" t="s">
        <v>13</v>
      </c>
      <c r="I87" t="s">
        <v>19</v>
      </c>
      <c r="J87">
        <v>1280970</v>
      </c>
    </row>
    <row r="88" spans="1:10">
      <c r="A88" s="12" t="s">
        <v>226</v>
      </c>
      <c r="B88" s="13">
        <v>119766</v>
      </c>
      <c r="C88" t="str">
        <f t="shared" si="1"/>
        <v>C</v>
      </c>
      <c r="F88" s="12" t="s">
        <v>188</v>
      </c>
      <c r="G88" s="23">
        <v>0.68783600778091691</v>
      </c>
      <c r="H88" t="s">
        <v>13</v>
      </c>
      <c r="I88" t="s">
        <v>19</v>
      </c>
      <c r="J88">
        <v>303735</v>
      </c>
    </row>
    <row r="89" spans="1:10">
      <c r="A89" s="12" t="s">
        <v>156</v>
      </c>
      <c r="B89" s="13">
        <v>126757</v>
      </c>
      <c r="C89" t="str">
        <f t="shared" si="1"/>
        <v>C</v>
      </c>
      <c r="F89" s="12" t="s">
        <v>100</v>
      </c>
      <c r="G89" s="23">
        <v>0.68286944853969278</v>
      </c>
      <c r="H89" t="s">
        <v>13</v>
      </c>
      <c r="I89" t="s">
        <v>19</v>
      </c>
      <c r="J89">
        <v>213016</v>
      </c>
    </row>
    <row r="90" spans="1:10">
      <c r="A90" s="12" t="s">
        <v>289</v>
      </c>
      <c r="B90" s="13">
        <v>95041</v>
      </c>
      <c r="C90" t="str">
        <f t="shared" si="1"/>
        <v>C</v>
      </c>
      <c r="F90" s="12" t="s">
        <v>223</v>
      </c>
      <c r="G90" s="23">
        <v>0.67808116857426892</v>
      </c>
      <c r="H90" t="s">
        <v>13</v>
      </c>
      <c r="I90" t="s">
        <v>19</v>
      </c>
      <c r="J90">
        <v>314096</v>
      </c>
    </row>
    <row r="91" spans="1:10">
      <c r="A91" s="12" t="s">
        <v>75</v>
      </c>
      <c r="B91" s="13">
        <v>370056</v>
      </c>
      <c r="C91" t="str">
        <f t="shared" si="1"/>
        <v>C</v>
      </c>
      <c r="F91" s="12" t="s">
        <v>222</v>
      </c>
      <c r="G91" s="23">
        <v>0.65950954938973061</v>
      </c>
      <c r="H91" t="s">
        <v>13</v>
      </c>
      <c r="I91" t="s">
        <v>19</v>
      </c>
      <c r="J91">
        <v>401747</v>
      </c>
    </row>
    <row r="92" spans="1:10">
      <c r="A92" s="12" t="s">
        <v>219</v>
      </c>
      <c r="B92" s="13">
        <v>169939</v>
      </c>
      <c r="C92" t="str">
        <f t="shared" si="1"/>
        <v>C</v>
      </c>
      <c r="F92" s="12" t="s">
        <v>179</v>
      </c>
      <c r="G92" s="23">
        <v>0.62996481403260451</v>
      </c>
      <c r="H92" t="s">
        <v>13</v>
      </c>
      <c r="I92" t="s">
        <v>19</v>
      </c>
      <c r="J92">
        <v>676296</v>
      </c>
    </row>
    <row r="93" spans="1:10">
      <c r="A93" s="12" t="s">
        <v>154</v>
      </c>
      <c r="B93" s="13">
        <v>278945</v>
      </c>
      <c r="C93" t="str">
        <f t="shared" si="1"/>
        <v>C</v>
      </c>
      <c r="F93" s="12" t="s">
        <v>198</v>
      </c>
      <c r="G93" s="23">
        <v>0.62497223390976975</v>
      </c>
      <c r="H93" t="s">
        <v>13</v>
      </c>
      <c r="I93" t="s">
        <v>19</v>
      </c>
      <c r="J93">
        <v>824990</v>
      </c>
    </row>
    <row r="94" spans="1:10">
      <c r="A94" s="12" t="s">
        <v>267</v>
      </c>
      <c r="B94" s="13">
        <v>223066</v>
      </c>
      <c r="C94" t="str">
        <f t="shared" si="1"/>
        <v>C</v>
      </c>
      <c r="F94" s="12" t="s">
        <v>214</v>
      </c>
      <c r="G94" s="23">
        <v>0.61515231064765941</v>
      </c>
      <c r="H94" t="s">
        <v>13</v>
      </c>
      <c r="I94" t="s">
        <v>19</v>
      </c>
      <c r="J94">
        <v>213956</v>
      </c>
    </row>
    <row r="95" spans="1:10">
      <c r="A95" s="12" t="s">
        <v>249</v>
      </c>
      <c r="B95" s="13">
        <v>139275</v>
      </c>
      <c r="C95" t="str">
        <f t="shared" si="1"/>
        <v>C</v>
      </c>
      <c r="F95" s="12" t="s">
        <v>272</v>
      </c>
      <c r="G95" s="23">
        <v>0.60057042792271087</v>
      </c>
      <c r="H95" t="s">
        <v>13</v>
      </c>
      <c r="I95" t="s">
        <v>19</v>
      </c>
      <c r="J95">
        <v>1086212</v>
      </c>
    </row>
    <row r="96" spans="1:10">
      <c r="A96" s="12" t="s">
        <v>187</v>
      </c>
      <c r="B96" s="13">
        <v>577182</v>
      </c>
      <c r="C96" t="str">
        <f t="shared" si="1"/>
        <v>C</v>
      </c>
      <c r="F96" s="12" t="s">
        <v>211</v>
      </c>
      <c r="G96" s="23">
        <v>0.58277175412145488</v>
      </c>
      <c r="H96" t="s">
        <v>13</v>
      </c>
      <c r="I96" t="s">
        <v>19</v>
      </c>
      <c r="J96">
        <v>477086</v>
      </c>
    </row>
    <row r="97" spans="1:10">
      <c r="A97" s="12" t="s">
        <v>220</v>
      </c>
      <c r="B97" s="13">
        <v>212222</v>
      </c>
      <c r="C97" t="str">
        <f t="shared" si="1"/>
        <v>C</v>
      </c>
      <c r="F97" s="12" t="s">
        <v>291</v>
      </c>
      <c r="G97" s="23">
        <v>0.58265914556982956</v>
      </c>
      <c r="H97" t="s">
        <v>13</v>
      </c>
      <c r="I97" t="s">
        <v>19</v>
      </c>
      <c r="J97">
        <v>441171</v>
      </c>
    </row>
    <row r="98" spans="1:10">
      <c r="A98" s="12" t="s">
        <v>174</v>
      </c>
      <c r="B98" s="13">
        <v>474039</v>
      </c>
      <c r="C98" t="str">
        <f t="shared" si="1"/>
        <v>C</v>
      </c>
      <c r="F98" s="12" t="s">
        <v>117</v>
      </c>
      <c r="G98" s="23">
        <v>0.57850535268711245</v>
      </c>
      <c r="H98" t="s">
        <v>13</v>
      </c>
      <c r="I98" t="s">
        <v>19</v>
      </c>
      <c r="J98">
        <v>813908</v>
      </c>
    </row>
    <row r="99" spans="1:10">
      <c r="A99" s="12" t="s">
        <v>286</v>
      </c>
      <c r="B99" s="13">
        <v>94349</v>
      </c>
      <c r="C99" t="str">
        <f t="shared" si="1"/>
        <v>C</v>
      </c>
      <c r="F99" s="12" t="s">
        <v>187</v>
      </c>
      <c r="G99" s="23">
        <v>0.57534619958594679</v>
      </c>
      <c r="H99" t="s">
        <v>13</v>
      </c>
      <c r="I99" t="s">
        <v>19</v>
      </c>
      <c r="J99">
        <v>577182</v>
      </c>
    </row>
    <row r="100" spans="1:10">
      <c r="A100" s="12" t="s">
        <v>272</v>
      </c>
      <c r="B100" s="13">
        <v>1086212</v>
      </c>
      <c r="C100" t="str">
        <f t="shared" si="1"/>
        <v>C</v>
      </c>
      <c r="F100" s="12" t="s">
        <v>141</v>
      </c>
      <c r="G100" s="23">
        <v>0.51636622432042223</v>
      </c>
      <c r="H100" t="s">
        <v>13</v>
      </c>
      <c r="I100" t="s">
        <v>19</v>
      </c>
      <c r="J100">
        <v>1021849</v>
      </c>
    </row>
    <row r="101" spans="1:10">
      <c r="A101" s="12" t="s">
        <v>78</v>
      </c>
      <c r="B101" s="13">
        <v>1046347</v>
      </c>
      <c r="C101" t="str">
        <f t="shared" si="1"/>
        <v>C</v>
      </c>
      <c r="F101" s="12" t="s">
        <v>94</v>
      </c>
      <c r="G101" s="23">
        <v>0.51117581455360428</v>
      </c>
      <c r="H101" t="s">
        <v>13</v>
      </c>
      <c r="I101" t="s">
        <v>19</v>
      </c>
      <c r="J101">
        <v>1097505</v>
      </c>
    </row>
    <row r="102" spans="1:10">
      <c r="A102" s="12" t="s">
        <v>142</v>
      </c>
      <c r="B102" s="13">
        <v>771258</v>
      </c>
      <c r="C102" t="str">
        <f t="shared" si="1"/>
        <v>C</v>
      </c>
      <c r="F102" s="12" t="s">
        <v>191</v>
      </c>
      <c r="G102" s="23">
        <v>0.50286941200470392</v>
      </c>
      <c r="H102" t="s">
        <v>13</v>
      </c>
      <c r="I102" t="s">
        <v>19</v>
      </c>
      <c r="J102">
        <v>563076</v>
      </c>
    </row>
    <row r="103" spans="1:10">
      <c r="A103" s="12" t="s">
        <v>99</v>
      </c>
      <c r="B103" s="13">
        <v>90247</v>
      </c>
      <c r="C103" t="str">
        <f t="shared" si="1"/>
        <v>C</v>
      </c>
      <c r="F103" s="12" t="s">
        <v>104</v>
      </c>
      <c r="G103" s="23">
        <v>0.49641206347936528</v>
      </c>
      <c r="H103" t="s">
        <v>13</v>
      </c>
      <c r="I103" t="s">
        <v>19</v>
      </c>
      <c r="J103">
        <v>310580</v>
      </c>
    </row>
    <row r="104" spans="1:10">
      <c r="A104" s="12" t="s">
        <v>176</v>
      </c>
      <c r="B104" s="13">
        <v>962043</v>
      </c>
      <c r="C104" t="str">
        <f t="shared" si="1"/>
        <v>C</v>
      </c>
      <c r="F104" s="12" t="s">
        <v>142</v>
      </c>
      <c r="G104" s="23">
        <v>0.49252518185324257</v>
      </c>
      <c r="H104" t="s">
        <v>13</v>
      </c>
      <c r="I104" t="s">
        <v>19</v>
      </c>
      <c r="J104">
        <v>771258</v>
      </c>
    </row>
    <row r="105" spans="1:10">
      <c r="A105" s="12" t="s">
        <v>106</v>
      </c>
      <c r="B105" s="13">
        <v>496400</v>
      </c>
      <c r="C105" t="str">
        <f t="shared" si="1"/>
        <v>C</v>
      </c>
      <c r="F105" s="12" t="s">
        <v>67</v>
      </c>
      <c r="G105" s="23">
        <v>0.49134253322987631</v>
      </c>
      <c r="H105" t="s">
        <v>13</v>
      </c>
      <c r="I105" t="s">
        <v>19</v>
      </c>
      <c r="J105">
        <v>1950239</v>
      </c>
    </row>
    <row r="106" spans="1:10">
      <c r="A106" s="12" t="s">
        <v>83</v>
      </c>
      <c r="B106" s="13">
        <v>103042</v>
      </c>
      <c r="C106" t="str">
        <f t="shared" si="1"/>
        <v>C</v>
      </c>
      <c r="F106" s="12" t="s">
        <v>133</v>
      </c>
      <c r="G106" s="23">
        <v>0.4641273138107605</v>
      </c>
      <c r="H106" t="s">
        <v>13</v>
      </c>
      <c r="I106" t="s">
        <v>19</v>
      </c>
      <c r="J106">
        <v>405978</v>
      </c>
    </row>
    <row r="107" spans="1:10">
      <c r="A107" s="12" t="s">
        <v>64</v>
      </c>
      <c r="B107" s="13">
        <v>396689</v>
      </c>
      <c r="C107" t="str">
        <f t="shared" si="1"/>
        <v>C</v>
      </c>
      <c r="F107" s="12" t="s">
        <v>62</v>
      </c>
      <c r="G107" s="23">
        <v>0.4599754412713104</v>
      </c>
      <c r="H107" t="s">
        <v>13</v>
      </c>
      <c r="I107" t="s">
        <v>19</v>
      </c>
      <c r="J107">
        <v>218330</v>
      </c>
    </row>
    <row r="108" spans="1:10">
      <c r="A108" s="12" t="s">
        <v>275</v>
      </c>
      <c r="B108" s="13">
        <v>108804</v>
      </c>
      <c r="C108" t="str">
        <f t="shared" si="1"/>
        <v>C</v>
      </c>
      <c r="F108" s="12" t="s">
        <v>245</v>
      </c>
      <c r="G108" s="23">
        <v>0.45176723267691682</v>
      </c>
      <c r="H108" t="s">
        <v>13</v>
      </c>
      <c r="I108" t="s">
        <v>19</v>
      </c>
      <c r="J108">
        <v>257941</v>
      </c>
    </row>
    <row r="109" spans="1:10">
      <c r="A109" s="12" t="s">
        <v>291</v>
      </c>
      <c r="B109" s="13">
        <v>441171</v>
      </c>
      <c r="C109" t="str">
        <f t="shared" si="1"/>
        <v>C</v>
      </c>
      <c r="F109" s="12" t="s">
        <v>175</v>
      </c>
      <c r="G109" s="23">
        <v>0.37713544640117108</v>
      </c>
      <c r="H109" t="s">
        <v>13</v>
      </c>
      <c r="I109" t="s">
        <v>19</v>
      </c>
      <c r="J109">
        <v>704499</v>
      </c>
    </row>
    <row r="110" spans="1:10">
      <c r="A110" s="12" t="s">
        <v>151</v>
      </c>
      <c r="B110" s="13">
        <v>471610</v>
      </c>
      <c r="C110" t="str">
        <f t="shared" si="1"/>
        <v>C</v>
      </c>
      <c r="F110" s="12" t="s">
        <v>177</v>
      </c>
      <c r="G110" s="23">
        <v>0.33508579288782536</v>
      </c>
      <c r="H110" t="s">
        <v>13</v>
      </c>
      <c r="I110" t="s">
        <v>19</v>
      </c>
      <c r="J110">
        <v>662303</v>
      </c>
    </row>
    <row r="111" spans="1:10">
      <c r="A111" s="12" t="s">
        <v>209</v>
      </c>
      <c r="B111" s="13">
        <v>125422</v>
      </c>
      <c r="C111" t="str">
        <f t="shared" si="1"/>
        <v>C</v>
      </c>
      <c r="F111" s="12" t="s">
        <v>252</v>
      </c>
      <c r="G111" s="23">
        <v>9.4939239192370684E-2</v>
      </c>
      <c r="H111" t="s">
        <v>14</v>
      </c>
      <c r="I111" t="s">
        <v>21</v>
      </c>
      <c r="J111">
        <v>129343</v>
      </c>
    </row>
    <row r="112" spans="1:10">
      <c r="A112" s="12" t="s">
        <v>248</v>
      </c>
      <c r="B112" s="13">
        <v>135454</v>
      </c>
      <c r="C112" t="str">
        <f t="shared" si="1"/>
        <v>C</v>
      </c>
      <c r="F112" s="12" t="s">
        <v>260</v>
      </c>
      <c r="G112" s="23">
        <v>3.1912473467274861E-2</v>
      </c>
      <c r="H112" t="s">
        <v>14</v>
      </c>
      <c r="I112" t="s">
        <v>21</v>
      </c>
      <c r="J112">
        <v>113133</v>
      </c>
    </row>
    <row r="113" spans="1:10">
      <c r="A113" s="12" t="s">
        <v>164</v>
      </c>
      <c r="B113" s="13">
        <v>103915</v>
      </c>
      <c r="C113" t="str">
        <f t="shared" si="1"/>
        <v>C</v>
      </c>
      <c r="F113" s="12" t="s">
        <v>97</v>
      </c>
      <c r="G113" s="23">
        <v>3.1228339062299892E-2</v>
      </c>
      <c r="H113" t="s">
        <v>14</v>
      </c>
      <c r="I113" t="s">
        <v>21</v>
      </c>
      <c r="J113">
        <v>118609</v>
      </c>
    </row>
    <row r="114" spans="1:10">
      <c r="A114" s="12" t="s">
        <v>230</v>
      </c>
      <c r="B114" s="13">
        <v>1000118</v>
      </c>
      <c r="C114" t="str">
        <f t="shared" si="1"/>
        <v>C</v>
      </c>
      <c r="F114" s="12" t="s">
        <v>84</v>
      </c>
      <c r="G114" s="23">
        <v>2.9569537091640171E-2</v>
      </c>
      <c r="H114" t="s">
        <v>14</v>
      </c>
      <c r="I114" t="s">
        <v>21</v>
      </c>
      <c r="J114">
        <v>110600</v>
      </c>
    </row>
    <row r="115" spans="1:10">
      <c r="A115" s="12" t="s">
        <v>183</v>
      </c>
      <c r="B115" s="13">
        <v>136937</v>
      </c>
      <c r="C115" t="str">
        <f t="shared" si="1"/>
        <v>C</v>
      </c>
      <c r="F115" s="12" t="s">
        <v>184</v>
      </c>
      <c r="G115" s="23">
        <v>2.8451705334621453E-2</v>
      </c>
      <c r="H115" t="s">
        <v>14</v>
      </c>
      <c r="I115" t="s">
        <v>21</v>
      </c>
      <c r="J115">
        <v>153462</v>
      </c>
    </row>
    <row r="116" spans="1:10">
      <c r="A116" s="12" t="s">
        <v>117</v>
      </c>
      <c r="B116" s="13">
        <v>813908</v>
      </c>
      <c r="C116" t="str">
        <f t="shared" si="1"/>
        <v>C</v>
      </c>
      <c r="F116" s="12" t="s">
        <v>86</v>
      </c>
      <c r="G116" s="23">
        <v>2.8177242890601837E-2</v>
      </c>
      <c r="H116" t="s">
        <v>14</v>
      </c>
      <c r="I116" t="s">
        <v>21</v>
      </c>
      <c r="J116">
        <v>119087</v>
      </c>
    </row>
    <row r="117" spans="1:10">
      <c r="A117" s="12" t="s">
        <v>112</v>
      </c>
      <c r="B117" s="13">
        <v>173855</v>
      </c>
      <c r="C117" t="str">
        <f t="shared" si="1"/>
        <v>C</v>
      </c>
      <c r="F117" s="12" t="s">
        <v>113</v>
      </c>
      <c r="G117" s="23">
        <v>2.7417191784742875E-2</v>
      </c>
      <c r="H117" t="s">
        <v>14</v>
      </c>
      <c r="I117" t="s">
        <v>21</v>
      </c>
      <c r="J117">
        <v>149136</v>
      </c>
    </row>
    <row r="118" spans="1:10">
      <c r="A118" s="12" t="s">
        <v>129</v>
      </c>
      <c r="B118" s="13">
        <v>167653</v>
      </c>
      <c r="C118" t="str">
        <f t="shared" si="1"/>
        <v>C</v>
      </c>
      <c r="F118" s="12" t="s">
        <v>172</v>
      </c>
      <c r="G118" s="23">
        <v>2.6644959811778106E-2</v>
      </c>
      <c r="H118" t="s">
        <v>14</v>
      </c>
      <c r="I118" t="s">
        <v>21</v>
      </c>
      <c r="J118">
        <v>156500</v>
      </c>
    </row>
    <row r="119" spans="1:10">
      <c r="A119" s="12" t="s">
        <v>288</v>
      </c>
      <c r="B119" s="13">
        <v>100642</v>
      </c>
      <c r="C119" t="str">
        <f t="shared" si="1"/>
        <v>C</v>
      </c>
      <c r="F119" s="12" t="s">
        <v>74</v>
      </c>
      <c r="G119" s="23">
        <v>2.6558317224123024E-2</v>
      </c>
      <c r="H119" t="s">
        <v>14</v>
      </c>
      <c r="I119" t="s">
        <v>21</v>
      </c>
      <c r="J119">
        <v>163550</v>
      </c>
    </row>
    <row r="120" spans="1:10">
      <c r="A120" s="12" t="s">
        <v>160</v>
      </c>
      <c r="B120" s="13">
        <v>145107</v>
      </c>
      <c r="C120" t="str">
        <f t="shared" si="1"/>
        <v>C</v>
      </c>
      <c r="F120" s="12" t="s">
        <v>173</v>
      </c>
      <c r="G120" s="23">
        <v>2.6100985627383597E-2</v>
      </c>
      <c r="H120" t="s">
        <v>14</v>
      </c>
      <c r="I120" t="s">
        <v>21</v>
      </c>
      <c r="J120">
        <v>200485</v>
      </c>
    </row>
    <row r="121" spans="1:10">
      <c r="A121" s="12" t="s">
        <v>131</v>
      </c>
      <c r="B121" s="13">
        <v>325106</v>
      </c>
      <c r="C121" t="str">
        <f t="shared" si="1"/>
        <v>C</v>
      </c>
      <c r="F121" s="12" t="s">
        <v>282</v>
      </c>
      <c r="G121" s="23">
        <v>2.4757417226284037E-2</v>
      </c>
      <c r="H121" t="s">
        <v>14</v>
      </c>
      <c r="I121" t="s">
        <v>21</v>
      </c>
      <c r="J121">
        <v>188072</v>
      </c>
    </row>
    <row r="122" spans="1:10">
      <c r="A122" s="12" t="s">
        <v>139</v>
      </c>
      <c r="B122" s="13">
        <v>132174</v>
      </c>
      <c r="C122" t="str">
        <f t="shared" si="1"/>
        <v>C</v>
      </c>
      <c r="F122" s="12" t="s">
        <v>220</v>
      </c>
      <c r="G122" s="23">
        <v>2.4744473892347074E-2</v>
      </c>
      <c r="H122" t="s">
        <v>14</v>
      </c>
      <c r="I122" t="s">
        <v>21</v>
      </c>
      <c r="J122">
        <v>212222</v>
      </c>
    </row>
    <row r="123" spans="1:10">
      <c r="A123" s="12" t="s">
        <v>88</v>
      </c>
      <c r="B123" s="13">
        <v>91930</v>
      </c>
      <c r="C123" t="str">
        <f t="shared" si="1"/>
        <v>C</v>
      </c>
      <c r="F123" s="12" t="s">
        <v>139</v>
      </c>
      <c r="G123" s="23">
        <v>2.4227673906160388E-2</v>
      </c>
      <c r="H123" t="s">
        <v>14</v>
      </c>
      <c r="I123" t="s">
        <v>21</v>
      </c>
      <c r="J123">
        <v>132174</v>
      </c>
    </row>
    <row r="124" spans="1:10">
      <c r="A124" s="12" t="s">
        <v>260</v>
      </c>
      <c r="B124" s="13">
        <v>113133</v>
      </c>
      <c r="C124" t="str">
        <f t="shared" si="1"/>
        <v>C</v>
      </c>
      <c r="F124" s="12" t="s">
        <v>149</v>
      </c>
      <c r="G124" s="23">
        <v>2.4007002490285485E-2</v>
      </c>
      <c r="H124" t="s">
        <v>14</v>
      </c>
      <c r="I124" t="s">
        <v>21</v>
      </c>
      <c r="J124">
        <v>119685</v>
      </c>
    </row>
    <row r="125" spans="1:10">
      <c r="A125" s="12" t="s">
        <v>162</v>
      </c>
      <c r="B125" s="13">
        <v>196883</v>
      </c>
      <c r="C125" t="str">
        <f t="shared" si="1"/>
        <v>C</v>
      </c>
      <c r="F125" s="12" t="s">
        <v>190</v>
      </c>
      <c r="G125" s="23">
        <v>2.3897540030673365E-2</v>
      </c>
      <c r="H125" t="s">
        <v>14</v>
      </c>
      <c r="I125" t="s">
        <v>21</v>
      </c>
      <c r="J125">
        <v>130542</v>
      </c>
    </row>
    <row r="126" spans="1:10">
      <c r="A126" s="12" t="s">
        <v>108</v>
      </c>
      <c r="B126" s="13">
        <v>697695</v>
      </c>
      <c r="C126" t="str">
        <f t="shared" si="1"/>
        <v>C</v>
      </c>
      <c r="F126" s="12" t="s">
        <v>183</v>
      </c>
      <c r="G126" s="23">
        <v>2.3742603095208831E-2</v>
      </c>
      <c r="H126" t="s">
        <v>14</v>
      </c>
      <c r="I126" t="s">
        <v>21</v>
      </c>
      <c r="J126">
        <v>136937</v>
      </c>
    </row>
    <row r="127" spans="1:10">
      <c r="A127" s="12" t="s">
        <v>256</v>
      </c>
      <c r="B127" s="13">
        <v>167270</v>
      </c>
      <c r="C127" t="str">
        <f t="shared" si="1"/>
        <v>C</v>
      </c>
      <c r="F127" s="12" t="s">
        <v>233</v>
      </c>
      <c r="G127" s="23">
        <v>2.3289557393068431E-2</v>
      </c>
      <c r="H127" t="s">
        <v>14</v>
      </c>
      <c r="I127" t="s">
        <v>21</v>
      </c>
      <c r="J127">
        <v>160626</v>
      </c>
    </row>
    <row r="128" spans="1:10">
      <c r="A128" s="12" t="s">
        <v>184</v>
      </c>
      <c r="B128" s="13">
        <v>153462</v>
      </c>
      <c r="C128" t="str">
        <f t="shared" si="1"/>
        <v>C</v>
      </c>
      <c r="F128" s="12" t="s">
        <v>171</v>
      </c>
      <c r="G128" s="23">
        <v>2.2733746814769772E-2</v>
      </c>
      <c r="H128" t="s">
        <v>14</v>
      </c>
      <c r="I128" t="s">
        <v>21</v>
      </c>
      <c r="J128">
        <v>113546</v>
      </c>
    </row>
    <row r="129" spans="1:10">
      <c r="A129" s="12" t="s">
        <v>213</v>
      </c>
      <c r="B129" s="13">
        <v>300031</v>
      </c>
      <c r="C129" t="str">
        <f t="shared" si="1"/>
        <v>C</v>
      </c>
      <c r="F129" s="12" t="s">
        <v>160</v>
      </c>
      <c r="G129" s="23">
        <v>2.2564676015979782E-2</v>
      </c>
      <c r="H129" t="s">
        <v>14</v>
      </c>
      <c r="I129" t="s">
        <v>21</v>
      </c>
      <c r="J129">
        <v>145107</v>
      </c>
    </row>
    <row r="130" spans="1:10">
      <c r="A130" s="12" t="s">
        <v>91</v>
      </c>
      <c r="B130" s="13">
        <v>343654</v>
      </c>
      <c r="C130" t="str">
        <f t="shared" si="1"/>
        <v>C</v>
      </c>
      <c r="F130" s="12" t="s">
        <v>61</v>
      </c>
      <c r="G130" s="23">
        <v>2.220218701666779E-2</v>
      </c>
      <c r="H130" t="s">
        <v>14</v>
      </c>
      <c r="I130" t="s">
        <v>21</v>
      </c>
      <c r="J130">
        <v>196129</v>
      </c>
    </row>
    <row r="131" spans="1:10">
      <c r="A131" s="12" t="s">
        <v>144</v>
      </c>
      <c r="B131" s="13">
        <v>116259</v>
      </c>
      <c r="C131" t="str">
        <f t="shared" ref="C131:C194" si="2">VLOOKUP(B131,$N$34:$O$36,2,1)</f>
        <v>C</v>
      </c>
      <c r="F131" s="12" t="s">
        <v>216</v>
      </c>
      <c r="G131" s="23">
        <v>2.21168357440517E-2</v>
      </c>
      <c r="H131" t="s">
        <v>14</v>
      </c>
      <c r="I131" t="s">
        <v>21</v>
      </c>
      <c r="J131">
        <v>121723</v>
      </c>
    </row>
    <row r="132" spans="1:10">
      <c r="A132" s="12" t="s">
        <v>214</v>
      </c>
      <c r="B132" s="13">
        <v>213956</v>
      </c>
      <c r="C132" t="str">
        <f t="shared" si="2"/>
        <v>C</v>
      </c>
      <c r="F132" s="12" t="s">
        <v>162</v>
      </c>
      <c r="G132" s="23">
        <v>2.1493597113037628E-2</v>
      </c>
      <c r="H132" t="s">
        <v>14</v>
      </c>
      <c r="I132" t="s">
        <v>21</v>
      </c>
      <c r="J132">
        <v>196883</v>
      </c>
    </row>
    <row r="133" spans="1:10">
      <c r="A133" s="12" t="s">
        <v>244</v>
      </c>
      <c r="B133" s="13">
        <v>96508</v>
      </c>
      <c r="C133" t="str">
        <f t="shared" si="2"/>
        <v>C</v>
      </c>
      <c r="F133" s="12" t="s">
        <v>253</v>
      </c>
      <c r="G133" s="23">
        <v>2.1348457225404901E-2</v>
      </c>
      <c r="H133" t="s">
        <v>14</v>
      </c>
      <c r="I133" t="s">
        <v>21</v>
      </c>
      <c r="J133">
        <v>146165</v>
      </c>
    </row>
    <row r="134" spans="1:10">
      <c r="A134" s="12" t="s">
        <v>113</v>
      </c>
      <c r="B134" s="13">
        <v>149136</v>
      </c>
      <c r="C134" t="str">
        <f t="shared" si="2"/>
        <v>C</v>
      </c>
      <c r="F134" s="12" t="s">
        <v>203</v>
      </c>
      <c r="G134" s="23">
        <v>2.125500393465769E-2</v>
      </c>
      <c r="H134" t="s">
        <v>14</v>
      </c>
      <c r="I134" t="s">
        <v>21</v>
      </c>
      <c r="J134">
        <v>132527</v>
      </c>
    </row>
    <row r="135" spans="1:10">
      <c r="A135" s="12" t="s">
        <v>168</v>
      </c>
      <c r="B135" s="13">
        <v>974284</v>
      </c>
      <c r="C135" t="str">
        <f t="shared" si="2"/>
        <v>C</v>
      </c>
      <c r="F135" s="12" t="s">
        <v>201</v>
      </c>
      <c r="G135" s="23">
        <v>2.084156013096846E-2</v>
      </c>
      <c r="H135" t="s">
        <v>14</v>
      </c>
      <c r="I135" t="s">
        <v>21</v>
      </c>
      <c r="J135">
        <v>109435</v>
      </c>
    </row>
    <row r="136" spans="1:10">
      <c r="A136" s="12" t="s">
        <v>234</v>
      </c>
      <c r="B136" s="13">
        <v>115369</v>
      </c>
      <c r="C136" t="str">
        <f t="shared" si="2"/>
        <v>C</v>
      </c>
      <c r="F136" s="12" t="s">
        <v>150</v>
      </c>
      <c r="G136" s="23">
        <v>1.9994133791556786E-2</v>
      </c>
      <c r="H136" t="s">
        <v>14</v>
      </c>
      <c r="I136" t="s">
        <v>21</v>
      </c>
      <c r="J136">
        <v>172013</v>
      </c>
    </row>
    <row r="137" spans="1:10">
      <c r="A137" s="12" t="s">
        <v>262</v>
      </c>
      <c r="B137" s="13">
        <v>141966</v>
      </c>
      <c r="C137" t="str">
        <f t="shared" si="2"/>
        <v>C</v>
      </c>
      <c r="F137" s="12" t="s">
        <v>159</v>
      </c>
      <c r="G137" s="23">
        <v>1.9426380481217552E-2</v>
      </c>
      <c r="H137" t="s">
        <v>14</v>
      </c>
      <c r="I137" t="s">
        <v>21</v>
      </c>
      <c r="J137">
        <v>118902</v>
      </c>
    </row>
    <row r="138" spans="1:10">
      <c r="A138" s="12" t="s">
        <v>186</v>
      </c>
      <c r="B138" s="13">
        <v>464356</v>
      </c>
      <c r="C138" t="str">
        <f t="shared" si="2"/>
        <v>C</v>
      </c>
      <c r="F138" s="12" t="s">
        <v>208</v>
      </c>
      <c r="G138" s="23">
        <v>1.9272767789466447E-2</v>
      </c>
      <c r="H138" t="s">
        <v>14</v>
      </c>
      <c r="I138" t="s">
        <v>21</v>
      </c>
      <c r="J138">
        <v>180288</v>
      </c>
    </row>
    <row r="139" spans="1:10">
      <c r="A139" s="12" t="s">
        <v>246</v>
      </c>
      <c r="B139" s="13">
        <v>129763</v>
      </c>
      <c r="C139" t="str">
        <f t="shared" si="2"/>
        <v>C</v>
      </c>
      <c r="F139" s="12" t="s">
        <v>271</v>
      </c>
      <c r="G139" s="23">
        <v>1.8079948122674945E-2</v>
      </c>
      <c r="H139" t="s">
        <v>14</v>
      </c>
      <c r="I139" t="s">
        <v>21</v>
      </c>
      <c r="J139">
        <v>212122</v>
      </c>
    </row>
    <row r="140" spans="1:10">
      <c r="A140" s="12" t="s">
        <v>292</v>
      </c>
      <c r="B140" s="13">
        <v>412862</v>
      </c>
      <c r="C140" t="str">
        <f t="shared" si="2"/>
        <v>C</v>
      </c>
      <c r="F140" s="12" t="s">
        <v>85</v>
      </c>
      <c r="G140" s="23">
        <v>1.7435012070363406E-2</v>
      </c>
      <c r="H140" t="s">
        <v>14</v>
      </c>
      <c r="I140" t="s">
        <v>21</v>
      </c>
      <c r="J140">
        <v>117168</v>
      </c>
    </row>
    <row r="141" spans="1:10">
      <c r="A141" s="12" t="s">
        <v>136</v>
      </c>
      <c r="B141" s="13">
        <v>1232944</v>
      </c>
      <c r="C141" t="str">
        <f t="shared" si="2"/>
        <v>C</v>
      </c>
      <c r="F141" s="12" t="s">
        <v>180</v>
      </c>
      <c r="G141" s="23">
        <v>1.3794154632349145E-2</v>
      </c>
      <c r="H141" t="s">
        <v>14</v>
      </c>
      <c r="I141" t="s">
        <v>21</v>
      </c>
      <c r="J141">
        <v>118410</v>
      </c>
    </row>
    <row r="142" spans="1:10">
      <c r="A142" s="12" t="s">
        <v>120</v>
      </c>
      <c r="B142" s="13">
        <v>122470</v>
      </c>
      <c r="C142" t="str">
        <f t="shared" si="2"/>
        <v>C</v>
      </c>
      <c r="F142" s="12" t="s">
        <v>280</v>
      </c>
      <c r="G142" s="23">
        <v>1.3178404615022593E-2</v>
      </c>
      <c r="H142" t="s">
        <v>14</v>
      </c>
      <c r="I142" t="s">
        <v>21</v>
      </c>
      <c r="J142">
        <v>178928</v>
      </c>
    </row>
    <row r="143" spans="1:10">
      <c r="A143" s="12" t="s">
        <v>242</v>
      </c>
      <c r="B143" s="13">
        <v>114499</v>
      </c>
      <c r="C143" t="str">
        <f t="shared" si="2"/>
        <v>C</v>
      </c>
      <c r="F143" s="12" t="s">
        <v>170</v>
      </c>
      <c r="G143" s="23">
        <v>1.1472891343108095E-2</v>
      </c>
      <c r="H143" t="s">
        <v>14</v>
      </c>
      <c r="I143" t="s">
        <v>21</v>
      </c>
      <c r="J143">
        <v>154403</v>
      </c>
    </row>
    <row r="144" spans="1:10">
      <c r="A144" s="12" t="s">
        <v>191</v>
      </c>
      <c r="B144" s="13">
        <v>563076</v>
      </c>
      <c r="C144" t="str">
        <f t="shared" si="2"/>
        <v>C</v>
      </c>
      <c r="F144" s="12" t="s">
        <v>126</v>
      </c>
      <c r="G144" s="23">
        <v>0.2105669409488542</v>
      </c>
      <c r="H144" t="s">
        <v>14</v>
      </c>
      <c r="I144" t="s">
        <v>20</v>
      </c>
      <c r="J144">
        <v>133665</v>
      </c>
    </row>
    <row r="145" spans="1:10">
      <c r="A145" s="12" t="s">
        <v>238</v>
      </c>
      <c r="B145" s="13">
        <v>100474</v>
      </c>
      <c r="C145" t="str">
        <f t="shared" si="2"/>
        <v>C</v>
      </c>
      <c r="F145" s="31" t="s">
        <v>228</v>
      </c>
      <c r="G145" s="32">
        <v>0.20837580191791111</v>
      </c>
      <c r="H145" t="s">
        <v>14</v>
      </c>
      <c r="I145" s="33" t="s">
        <v>20</v>
      </c>
      <c r="J145">
        <v>144110</v>
      </c>
    </row>
    <row r="146" spans="1:10">
      <c r="A146" s="12" t="s">
        <v>119</v>
      </c>
      <c r="B146" s="13">
        <v>247879</v>
      </c>
      <c r="C146" t="str">
        <f t="shared" si="2"/>
        <v>C</v>
      </c>
      <c r="F146" s="12" t="s">
        <v>147</v>
      </c>
      <c r="G146" s="23">
        <v>0.20241138959706129</v>
      </c>
      <c r="H146" t="s">
        <v>14</v>
      </c>
      <c r="I146" t="s">
        <v>20</v>
      </c>
      <c r="J146">
        <v>112199</v>
      </c>
    </row>
    <row r="147" spans="1:10">
      <c r="A147" s="12" t="s">
        <v>287</v>
      </c>
      <c r="B147" s="13">
        <v>89504</v>
      </c>
      <c r="C147" t="str">
        <f t="shared" si="2"/>
        <v>C</v>
      </c>
      <c r="F147" s="12" t="s">
        <v>248</v>
      </c>
      <c r="G147" s="23">
        <v>0.19393452046753493</v>
      </c>
      <c r="H147" t="s">
        <v>14</v>
      </c>
      <c r="I147" t="s">
        <v>20</v>
      </c>
      <c r="J147">
        <v>135454</v>
      </c>
    </row>
    <row r="148" spans="1:10">
      <c r="A148" s="12" t="s">
        <v>95</v>
      </c>
      <c r="B148" s="13">
        <v>1076932</v>
      </c>
      <c r="C148" t="str">
        <f t="shared" si="2"/>
        <v>C</v>
      </c>
      <c r="F148" s="12" t="s">
        <v>249</v>
      </c>
      <c r="G148" s="23">
        <v>0.1924302877735094</v>
      </c>
      <c r="H148" t="s">
        <v>14</v>
      </c>
      <c r="I148" t="s">
        <v>20</v>
      </c>
      <c r="J148">
        <v>139275</v>
      </c>
    </row>
    <row r="149" spans="1:10">
      <c r="A149" s="12" t="s">
        <v>109</v>
      </c>
      <c r="B149" s="13">
        <v>1405256</v>
      </c>
      <c r="C149" t="str">
        <f t="shared" si="2"/>
        <v>C</v>
      </c>
      <c r="F149" s="12" t="s">
        <v>215</v>
      </c>
      <c r="G149" s="23">
        <v>0.18655622912107386</v>
      </c>
      <c r="H149" t="s">
        <v>14</v>
      </c>
      <c r="I149" t="s">
        <v>20</v>
      </c>
      <c r="J149">
        <v>117827</v>
      </c>
    </row>
    <row r="150" spans="1:10">
      <c r="A150" s="12" t="s">
        <v>101</v>
      </c>
      <c r="B150" s="13">
        <v>170691</v>
      </c>
      <c r="C150" t="str">
        <f t="shared" si="2"/>
        <v>C</v>
      </c>
      <c r="F150" s="12" t="s">
        <v>241</v>
      </c>
      <c r="G150" s="23">
        <v>0.18463580939732785</v>
      </c>
      <c r="H150" t="s">
        <v>14</v>
      </c>
      <c r="I150" t="s">
        <v>20</v>
      </c>
      <c r="J150">
        <v>171110</v>
      </c>
    </row>
    <row r="151" spans="1:10">
      <c r="A151" s="12" t="s">
        <v>161</v>
      </c>
      <c r="B151" s="13">
        <v>94498</v>
      </c>
      <c r="C151" t="str">
        <f t="shared" si="2"/>
        <v>C</v>
      </c>
      <c r="F151" s="12" t="s">
        <v>196</v>
      </c>
      <c r="G151" s="23">
        <v>0.18427422913797231</v>
      </c>
      <c r="H151" t="s">
        <v>14</v>
      </c>
      <c r="I151" t="s">
        <v>20</v>
      </c>
      <c r="J151">
        <v>110360</v>
      </c>
    </row>
    <row r="152" spans="1:10">
      <c r="A152" s="12" t="s">
        <v>97</v>
      </c>
      <c r="B152" s="13">
        <v>118609</v>
      </c>
      <c r="C152" t="str">
        <f t="shared" si="2"/>
        <v>C</v>
      </c>
      <c r="F152" s="12" t="s">
        <v>218</v>
      </c>
      <c r="G152" s="23">
        <v>0.18420568323602224</v>
      </c>
      <c r="H152" t="s">
        <v>14</v>
      </c>
      <c r="I152" t="s">
        <v>20</v>
      </c>
      <c r="J152">
        <v>157209</v>
      </c>
    </row>
    <row r="153" spans="1:10">
      <c r="A153" s="12" t="s">
        <v>198</v>
      </c>
      <c r="B153" s="13">
        <v>824990</v>
      </c>
      <c r="C153" t="str">
        <f t="shared" si="2"/>
        <v>C</v>
      </c>
      <c r="F153" s="12" t="s">
        <v>242</v>
      </c>
      <c r="G153" s="23">
        <v>0.18218619948948359</v>
      </c>
      <c r="H153" t="s">
        <v>14</v>
      </c>
      <c r="I153" t="s">
        <v>20</v>
      </c>
      <c r="J153">
        <v>114499</v>
      </c>
    </row>
    <row r="154" spans="1:10">
      <c r="A154" s="12" t="s">
        <v>263</v>
      </c>
      <c r="B154" s="13">
        <v>103770</v>
      </c>
      <c r="C154" t="str">
        <f t="shared" si="2"/>
        <v>C</v>
      </c>
      <c r="F154" s="12" t="s">
        <v>273</v>
      </c>
      <c r="G154" s="23">
        <v>0.18036996069082978</v>
      </c>
      <c r="H154" t="s">
        <v>14</v>
      </c>
      <c r="I154" t="s">
        <v>20</v>
      </c>
      <c r="J154">
        <v>132514</v>
      </c>
    </row>
    <row r="155" spans="1:10">
      <c r="A155" s="12" t="s">
        <v>86</v>
      </c>
      <c r="B155" s="13">
        <v>119087</v>
      </c>
      <c r="C155" t="str">
        <f t="shared" si="2"/>
        <v>C</v>
      </c>
      <c r="F155" s="12" t="s">
        <v>144</v>
      </c>
      <c r="G155" s="23">
        <v>0.17868477593729237</v>
      </c>
      <c r="H155" t="s">
        <v>14</v>
      </c>
      <c r="I155" t="s">
        <v>20</v>
      </c>
      <c r="J155">
        <v>116259</v>
      </c>
    </row>
    <row r="156" spans="1:10">
      <c r="A156" s="12" t="s">
        <v>232</v>
      </c>
      <c r="B156" s="13">
        <v>147653</v>
      </c>
      <c r="C156" t="str">
        <f t="shared" si="2"/>
        <v>C</v>
      </c>
      <c r="F156" s="12" t="s">
        <v>262</v>
      </c>
      <c r="G156" s="23">
        <v>0.17749110600828386</v>
      </c>
      <c r="H156" t="s">
        <v>14</v>
      </c>
      <c r="I156" t="s">
        <v>20</v>
      </c>
      <c r="J156">
        <v>141966</v>
      </c>
    </row>
    <row r="157" spans="1:10">
      <c r="A157" s="12" t="s">
        <v>241</v>
      </c>
      <c r="B157" s="13">
        <v>171110</v>
      </c>
      <c r="C157" t="str">
        <f t="shared" si="2"/>
        <v>C</v>
      </c>
      <c r="F157" s="12" t="s">
        <v>204</v>
      </c>
      <c r="G157" s="23">
        <v>0.17455426253838099</v>
      </c>
      <c r="H157" t="s">
        <v>14</v>
      </c>
      <c r="I157" t="s">
        <v>20</v>
      </c>
      <c r="J157">
        <v>199631</v>
      </c>
    </row>
    <row r="158" spans="1:10">
      <c r="A158" s="12" t="s">
        <v>199</v>
      </c>
      <c r="B158" s="13">
        <v>1012313</v>
      </c>
      <c r="C158" t="str">
        <f t="shared" si="2"/>
        <v>C</v>
      </c>
      <c r="F158" s="12" t="s">
        <v>243</v>
      </c>
      <c r="G158" s="23">
        <v>0.1709140789650333</v>
      </c>
      <c r="H158" t="s">
        <v>14</v>
      </c>
      <c r="I158" t="s">
        <v>20</v>
      </c>
      <c r="J158">
        <v>159324</v>
      </c>
    </row>
    <row r="159" spans="1:10">
      <c r="A159" s="12" t="s">
        <v>245</v>
      </c>
      <c r="B159" s="13">
        <v>257941</v>
      </c>
      <c r="C159" t="str">
        <f t="shared" si="2"/>
        <v>C</v>
      </c>
      <c r="F159" s="12" t="s">
        <v>129</v>
      </c>
      <c r="G159" s="23">
        <v>0.15442199005149165</v>
      </c>
      <c r="H159" t="s">
        <v>14</v>
      </c>
      <c r="I159" t="s">
        <v>20</v>
      </c>
      <c r="J159">
        <v>167653</v>
      </c>
    </row>
    <row r="160" spans="1:10">
      <c r="A160" s="12" t="s">
        <v>80</v>
      </c>
      <c r="B160" s="13">
        <v>120637</v>
      </c>
      <c r="C160" t="str">
        <f t="shared" si="2"/>
        <v>C</v>
      </c>
      <c r="F160" s="12" t="s">
        <v>156</v>
      </c>
      <c r="G160" s="23">
        <v>0.15366068445064604</v>
      </c>
      <c r="H160" t="s">
        <v>14</v>
      </c>
      <c r="I160" t="s">
        <v>20</v>
      </c>
      <c r="J160">
        <v>126757</v>
      </c>
    </row>
    <row r="161" spans="1:10">
      <c r="A161" s="12" t="s">
        <v>166</v>
      </c>
      <c r="B161" s="13">
        <v>503387</v>
      </c>
      <c r="C161" t="str">
        <f t="shared" si="2"/>
        <v>C</v>
      </c>
      <c r="F161" s="12" t="s">
        <v>72</v>
      </c>
      <c r="G161" s="23">
        <v>0.15176080252801663</v>
      </c>
      <c r="H161" t="s">
        <v>14</v>
      </c>
      <c r="I161" t="s">
        <v>20</v>
      </c>
      <c r="J161">
        <v>206806</v>
      </c>
    </row>
    <row r="162" spans="1:10">
      <c r="A162" s="12" t="s">
        <v>73</v>
      </c>
      <c r="B162" s="13">
        <v>112034</v>
      </c>
      <c r="C162" t="str">
        <f t="shared" si="2"/>
        <v>C</v>
      </c>
      <c r="F162" s="12" t="s">
        <v>274</v>
      </c>
      <c r="G162" s="23">
        <v>0.14904527776174448</v>
      </c>
      <c r="H162" t="s">
        <v>14</v>
      </c>
      <c r="I162" t="s">
        <v>20</v>
      </c>
      <c r="J162">
        <v>147620</v>
      </c>
    </row>
    <row r="163" spans="1:10">
      <c r="A163" s="12" t="s">
        <v>251</v>
      </c>
      <c r="B163" s="13">
        <v>97317</v>
      </c>
      <c r="C163" t="str">
        <f t="shared" si="2"/>
        <v>C</v>
      </c>
      <c r="F163" s="12" t="s">
        <v>101</v>
      </c>
      <c r="G163" s="23">
        <v>0.14776619310406794</v>
      </c>
      <c r="H163" t="s">
        <v>14</v>
      </c>
      <c r="I163" t="s">
        <v>20</v>
      </c>
      <c r="J163">
        <v>170691</v>
      </c>
    </row>
    <row r="164" spans="1:10">
      <c r="A164" s="12" t="s">
        <v>143</v>
      </c>
      <c r="B164" s="13">
        <v>676272</v>
      </c>
      <c r="C164" t="str">
        <f t="shared" si="2"/>
        <v>C</v>
      </c>
      <c r="F164" s="12" t="s">
        <v>217</v>
      </c>
      <c r="G164" s="23">
        <v>0.13961410756554354</v>
      </c>
      <c r="H164" t="s">
        <v>14</v>
      </c>
      <c r="I164" t="s">
        <v>20</v>
      </c>
      <c r="J164">
        <v>120513</v>
      </c>
    </row>
    <row r="165" spans="1:10">
      <c r="A165" s="12" t="s">
        <v>218</v>
      </c>
      <c r="B165" s="13">
        <v>157209</v>
      </c>
      <c r="C165" t="str">
        <f t="shared" si="2"/>
        <v>C</v>
      </c>
      <c r="F165" s="12" t="s">
        <v>163</v>
      </c>
      <c r="G165" s="23">
        <v>0.12683705475900903</v>
      </c>
      <c r="H165" t="s">
        <v>14</v>
      </c>
      <c r="I165" t="s">
        <v>20</v>
      </c>
      <c r="J165">
        <v>192164</v>
      </c>
    </row>
    <row r="166" spans="1:10">
      <c r="A166" s="12" t="s">
        <v>89</v>
      </c>
      <c r="B166" s="13">
        <v>110878</v>
      </c>
      <c r="C166" t="str">
        <f t="shared" si="2"/>
        <v>C</v>
      </c>
      <c r="F166" s="12" t="s">
        <v>226</v>
      </c>
      <c r="G166" s="23">
        <v>0.12398618595556875</v>
      </c>
      <c r="H166" t="s">
        <v>14</v>
      </c>
      <c r="I166" t="s">
        <v>20</v>
      </c>
      <c r="J166">
        <v>119766</v>
      </c>
    </row>
    <row r="167" spans="1:10">
      <c r="A167" s="12" t="s">
        <v>189</v>
      </c>
      <c r="B167" s="13">
        <v>128950</v>
      </c>
      <c r="C167" t="str">
        <f t="shared" si="2"/>
        <v>C</v>
      </c>
      <c r="F167" s="12" t="s">
        <v>158</v>
      </c>
      <c r="G167" s="23">
        <v>0.11967738579091484</v>
      </c>
      <c r="H167" t="s">
        <v>14</v>
      </c>
      <c r="I167" t="s">
        <v>20</v>
      </c>
      <c r="J167">
        <v>159395</v>
      </c>
    </row>
    <row r="168" spans="1:10">
      <c r="A168" s="12" t="s">
        <v>243</v>
      </c>
      <c r="B168" s="13">
        <v>159324</v>
      </c>
      <c r="C168" t="str">
        <f t="shared" si="2"/>
        <v>C</v>
      </c>
      <c r="F168" s="12" t="s">
        <v>89</v>
      </c>
      <c r="G168" s="23">
        <v>0.11816774861966038</v>
      </c>
      <c r="H168" t="s">
        <v>14</v>
      </c>
      <c r="I168" t="s">
        <v>20</v>
      </c>
      <c r="J168">
        <v>110878</v>
      </c>
    </row>
    <row r="169" spans="1:10">
      <c r="A169" s="12" t="s">
        <v>281</v>
      </c>
      <c r="B169" s="13">
        <v>122883</v>
      </c>
      <c r="C169" t="str">
        <f t="shared" si="2"/>
        <v>C</v>
      </c>
      <c r="F169" s="12" t="s">
        <v>232</v>
      </c>
      <c r="G169" s="23">
        <v>0.11119399224843743</v>
      </c>
      <c r="H169" t="s">
        <v>14</v>
      </c>
      <c r="I169" t="s">
        <v>20</v>
      </c>
      <c r="J169">
        <v>147653</v>
      </c>
    </row>
    <row r="170" spans="1:10">
      <c r="A170" s="12" t="s">
        <v>190</v>
      </c>
      <c r="B170" s="13">
        <v>130542</v>
      </c>
      <c r="C170" t="str">
        <f t="shared" si="2"/>
        <v>C</v>
      </c>
      <c r="F170" s="12" t="s">
        <v>266</v>
      </c>
      <c r="G170" s="23">
        <v>1.0234183961485921</v>
      </c>
      <c r="H170" t="s">
        <v>14</v>
      </c>
      <c r="I170" t="s">
        <v>19</v>
      </c>
      <c r="J170">
        <v>153941</v>
      </c>
    </row>
    <row r="171" spans="1:10">
      <c r="A171" s="12" t="s">
        <v>167</v>
      </c>
      <c r="B171" s="13">
        <v>420097</v>
      </c>
      <c r="C171" t="str">
        <f t="shared" si="2"/>
        <v>C</v>
      </c>
      <c r="F171" s="12" t="s">
        <v>239</v>
      </c>
      <c r="G171" s="23">
        <v>0.89114507110579178</v>
      </c>
      <c r="H171" t="s">
        <v>14</v>
      </c>
      <c r="I171" t="s">
        <v>19</v>
      </c>
      <c r="J171">
        <v>197477</v>
      </c>
    </row>
    <row r="172" spans="1:10">
      <c r="A172" s="12" t="s">
        <v>254</v>
      </c>
      <c r="B172" s="13">
        <v>95815</v>
      </c>
      <c r="C172" t="str">
        <f t="shared" si="2"/>
        <v>C</v>
      </c>
      <c r="F172" s="12" t="s">
        <v>193</v>
      </c>
      <c r="G172" s="23">
        <v>0.85309552548891521</v>
      </c>
      <c r="H172" t="s">
        <v>14</v>
      </c>
      <c r="I172" t="s">
        <v>19</v>
      </c>
      <c r="J172">
        <v>168926</v>
      </c>
    </row>
    <row r="173" spans="1:10">
      <c r="A173" s="12" t="s">
        <v>124</v>
      </c>
      <c r="B173" s="13">
        <v>289112</v>
      </c>
      <c r="C173" t="str">
        <f t="shared" si="2"/>
        <v>C</v>
      </c>
      <c r="F173" s="12" t="s">
        <v>130</v>
      </c>
      <c r="G173" s="23">
        <v>0.79794245423818477</v>
      </c>
      <c r="H173" t="s">
        <v>14</v>
      </c>
      <c r="I173" t="s">
        <v>19</v>
      </c>
      <c r="J173">
        <v>150862</v>
      </c>
    </row>
    <row r="174" spans="1:10">
      <c r="A174" s="12" t="s">
        <v>235</v>
      </c>
      <c r="B174" s="13">
        <v>221902</v>
      </c>
      <c r="C174" t="str">
        <f t="shared" si="2"/>
        <v>C</v>
      </c>
      <c r="F174" s="12" t="s">
        <v>227</v>
      </c>
      <c r="G174" s="23">
        <v>0.76191093962366996</v>
      </c>
      <c r="H174" t="s">
        <v>14</v>
      </c>
      <c r="I174" t="s">
        <v>19</v>
      </c>
      <c r="J174">
        <v>114462</v>
      </c>
    </row>
    <row r="175" spans="1:10">
      <c r="A175" s="12" t="s">
        <v>105</v>
      </c>
      <c r="B175" s="13">
        <v>130813</v>
      </c>
      <c r="C175" t="str">
        <f t="shared" si="2"/>
        <v>C</v>
      </c>
      <c r="F175" s="12" t="s">
        <v>219</v>
      </c>
      <c r="G175" s="23">
        <v>0.7612328500723714</v>
      </c>
      <c r="H175" t="s">
        <v>14</v>
      </c>
      <c r="I175" t="s">
        <v>19</v>
      </c>
      <c r="J175">
        <v>169939</v>
      </c>
    </row>
    <row r="176" spans="1:10">
      <c r="A176" s="12" t="s">
        <v>118</v>
      </c>
      <c r="B176" s="13">
        <v>1087017</v>
      </c>
      <c r="C176" t="str">
        <f t="shared" si="2"/>
        <v>C</v>
      </c>
      <c r="F176" s="12" t="s">
        <v>105</v>
      </c>
      <c r="G176" s="23">
        <v>0.71335520359635141</v>
      </c>
      <c r="H176" t="s">
        <v>14</v>
      </c>
      <c r="I176" t="s">
        <v>19</v>
      </c>
      <c r="J176">
        <v>130813</v>
      </c>
    </row>
    <row r="177" spans="1:10">
      <c r="A177" s="12" t="s">
        <v>283</v>
      </c>
      <c r="B177" s="13">
        <v>406709</v>
      </c>
      <c r="C177" t="str">
        <f t="shared" si="2"/>
        <v>C</v>
      </c>
      <c r="F177" s="12" t="s">
        <v>221</v>
      </c>
      <c r="G177" s="23">
        <v>0.66396854277168815</v>
      </c>
      <c r="H177" t="s">
        <v>14</v>
      </c>
      <c r="I177" t="s">
        <v>19</v>
      </c>
      <c r="J177">
        <v>138321</v>
      </c>
    </row>
    <row r="178" spans="1:10">
      <c r="A178" s="12" t="s">
        <v>122</v>
      </c>
      <c r="B178" s="13">
        <v>667684</v>
      </c>
      <c r="C178" t="str">
        <f t="shared" si="2"/>
        <v>C</v>
      </c>
      <c r="F178" s="12" t="s">
        <v>264</v>
      </c>
      <c r="G178" s="23">
        <v>0.65852502188577533</v>
      </c>
      <c r="H178" t="s">
        <v>14</v>
      </c>
      <c r="I178" t="s">
        <v>19</v>
      </c>
      <c r="J178">
        <v>182350</v>
      </c>
    </row>
    <row r="179" spans="1:10">
      <c r="A179" s="12" t="s">
        <v>192</v>
      </c>
      <c r="B179" s="13">
        <v>330631</v>
      </c>
      <c r="C179" t="str">
        <f t="shared" si="2"/>
        <v>C</v>
      </c>
      <c r="F179" s="12" t="s">
        <v>182</v>
      </c>
      <c r="G179" s="23">
        <v>0.6529006276069802</v>
      </c>
      <c r="H179" t="s">
        <v>14</v>
      </c>
      <c r="I179" t="s">
        <v>19</v>
      </c>
      <c r="J179">
        <v>123347</v>
      </c>
    </row>
    <row r="180" spans="1:10">
      <c r="A180" s="12" t="s">
        <v>279</v>
      </c>
      <c r="B180" s="13">
        <v>106212</v>
      </c>
      <c r="C180" t="str">
        <f t="shared" si="2"/>
        <v>C</v>
      </c>
      <c r="F180" s="12" t="s">
        <v>112</v>
      </c>
      <c r="G180" s="23">
        <v>0.62354017646647786</v>
      </c>
      <c r="H180" t="s">
        <v>14</v>
      </c>
      <c r="I180" t="s">
        <v>19</v>
      </c>
      <c r="J180">
        <v>173855</v>
      </c>
    </row>
    <row r="181" spans="1:10">
      <c r="A181" s="12" t="s">
        <v>225</v>
      </c>
      <c r="B181" s="13">
        <v>178657</v>
      </c>
      <c r="C181" t="str">
        <f t="shared" si="2"/>
        <v>C</v>
      </c>
      <c r="F181" s="12" t="s">
        <v>73</v>
      </c>
      <c r="G181" s="23">
        <v>0.62092000748652865</v>
      </c>
      <c r="H181" t="s">
        <v>14</v>
      </c>
      <c r="I181" t="s">
        <v>19</v>
      </c>
      <c r="J181">
        <v>112034</v>
      </c>
    </row>
    <row r="182" spans="1:10">
      <c r="A182" s="12" t="s">
        <v>273</v>
      </c>
      <c r="B182" s="13">
        <v>132514</v>
      </c>
      <c r="C182" t="str">
        <f t="shared" si="2"/>
        <v>C</v>
      </c>
      <c r="F182" s="12" t="s">
        <v>120</v>
      </c>
      <c r="G182" s="23">
        <v>0.61136604664721628</v>
      </c>
      <c r="H182" t="s">
        <v>14</v>
      </c>
      <c r="I182" t="s">
        <v>19</v>
      </c>
      <c r="J182">
        <v>122470</v>
      </c>
    </row>
    <row r="183" spans="1:10">
      <c r="A183" s="12" t="s">
        <v>277</v>
      </c>
      <c r="B183" s="13">
        <v>232657</v>
      </c>
      <c r="C183" t="str">
        <f t="shared" si="2"/>
        <v>C</v>
      </c>
      <c r="F183" s="12" t="s">
        <v>281</v>
      </c>
      <c r="G183" s="23">
        <v>0.61075147496412574</v>
      </c>
      <c r="H183" t="s">
        <v>14</v>
      </c>
      <c r="I183" t="s">
        <v>19</v>
      </c>
      <c r="J183">
        <v>122883</v>
      </c>
    </row>
    <row r="184" spans="1:10">
      <c r="A184" s="12" t="s">
        <v>201</v>
      </c>
      <c r="B184" s="13">
        <v>109435</v>
      </c>
      <c r="C184" t="str">
        <f t="shared" si="2"/>
        <v>C</v>
      </c>
      <c r="F184" s="12" t="s">
        <v>256</v>
      </c>
      <c r="G184" s="23">
        <v>0.60600488590895296</v>
      </c>
      <c r="H184" t="s">
        <v>14</v>
      </c>
      <c r="I184" t="s">
        <v>19</v>
      </c>
      <c r="J184">
        <v>167270</v>
      </c>
    </row>
    <row r="185" spans="1:10">
      <c r="A185" s="12" t="s">
        <v>68</v>
      </c>
      <c r="B185" s="13">
        <v>1130571</v>
      </c>
      <c r="C185" t="str">
        <f t="shared" si="2"/>
        <v>C</v>
      </c>
      <c r="F185" s="12" t="s">
        <v>270</v>
      </c>
      <c r="G185" s="23">
        <v>0.59477610689286176</v>
      </c>
      <c r="H185" t="s">
        <v>14</v>
      </c>
      <c r="I185" t="s">
        <v>19</v>
      </c>
      <c r="J185">
        <v>170983</v>
      </c>
    </row>
    <row r="186" spans="1:10">
      <c r="A186" s="12" t="s">
        <v>206</v>
      </c>
      <c r="B186" s="13">
        <v>325278</v>
      </c>
      <c r="C186" t="str">
        <f t="shared" si="2"/>
        <v>C</v>
      </c>
      <c r="F186" s="12" t="s">
        <v>225</v>
      </c>
      <c r="G186" s="23">
        <v>0.58676788674013602</v>
      </c>
      <c r="H186" t="s">
        <v>14</v>
      </c>
      <c r="I186" t="s">
        <v>19</v>
      </c>
      <c r="J186">
        <v>178657</v>
      </c>
    </row>
    <row r="187" spans="1:10">
      <c r="A187" s="12" t="s">
        <v>257</v>
      </c>
      <c r="B187" s="13">
        <v>186721</v>
      </c>
      <c r="C187" t="str">
        <f t="shared" si="2"/>
        <v>C</v>
      </c>
      <c r="F187" s="12" t="s">
        <v>80</v>
      </c>
      <c r="G187" s="23">
        <v>0.57879516082764215</v>
      </c>
      <c r="H187" t="s">
        <v>14</v>
      </c>
      <c r="I187" t="s">
        <v>19</v>
      </c>
      <c r="J187">
        <v>120637</v>
      </c>
    </row>
    <row r="188" spans="1:10">
      <c r="A188" s="12" t="s">
        <v>172</v>
      </c>
      <c r="B188" s="13">
        <v>156500</v>
      </c>
      <c r="C188" t="str">
        <f t="shared" si="2"/>
        <v>C</v>
      </c>
      <c r="F188" s="12" t="s">
        <v>209</v>
      </c>
      <c r="G188" s="23">
        <v>0.52688870365177709</v>
      </c>
      <c r="H188" t="s">
        <v>14</v>
      </c>
      <c r="I188" t="s">
        <v>19</v>
      </c>
      <c r="J188">
        <v>125422</v>
      </c>
    </row>
    <row r="189" spans="1:10">
      <c r="A189" s="12" t="s">
        <v>270</v>
      </c>
      <c r="B189" s="13">
        <v>170983</v>
      </c>
      <c r="C189" t="str">
        <f t="shared" si="2"/>
        <v>C</v>
      </c>
      <c r="F189" s="12" t="s">
        <v>87</v>
      </c>
      <c r="G189" s="23">
        <v>0.5115032913932589</v>
      </c>
      <c r="H189" t="s">
        <v>14</v>
      </c>
      <c r="I189" t="s">
        <v>19</v>
      </c>
      <c r="J189">
        <v>132305</v>
      </c>
    </row>
    <row r="190" spans="1:10">
      <c r="A190" s="12" t="s">
        <v>170</v>
      </c>
      <c r="B190" s="13">
        <v>154403</v>
      </c>
      <c r="C190" t="str">
        <f t="shared" si="2"/>
        <v>C</v>
      </c>
      <c r="F190" s="12" t="s">
        <v>257</v>
      </c>
      <c r="G190" s="23">
        <v>0.50901822156863052</v>
      </c>
      <c r="H190" t="s">
        <v>14</v>
      </c>
      <c r="I190" t="s">
        <v>19</v>
      </c>
      <c r="J190">
        <v>186721</v>
      </c>
    </row>
    <row r="191" spans="1:10">
      <c r="A191" s="12" t="s">
        <v>76</v>
      </c>
      <c r="B191" s="13">
        <v>629188</v>
      </c>
      <c r="C191" t="str">
        <f t="shared" si="2"/>
        <v>C</v>
      </c>
      <c r="F191" s="12" t="s">
        <v>278</v>
      </c>
      <c r="G191" s="23">
        <v>0.5042791361069856</v>
      </c>
      <c r="H191" t="s">
        <v>14</v>
      </c>
      <c r="I191" t="s">
        <v>19</v>
      </c>
      <c r="J191">
        <v>114021</v>
      </c>
    </row>
    <row r="192" spans="1:10">
      <c r="A192" s="12" t="s">
        <v>110</v>
      </c>
      <c r="B192" s="13">
        <v>1011121</v>
      </c>
      <c r="C192" t="str">
        <f t="shared" si="2"/>
        <v>C</v>
      </c>
      <c r="F192" s="12" t="s">
        <v>246</v>
      </c>
      <c r="G192" s="23">
        <v>0.48953097749927038</v>
      </c>
      <c r="H192" t="s">
        <v>14</v>
      </c>
      <c r="I192" t="s">
        <v>19</v>
      </c>
      <c r="J192">
        <v>129763</v>
      </c>
    </row>
    <row r="193" spans="1:10">
      <c r="A193" s="12" t="s">
        <v>221</v>
      </c>
      <c r="B193" s="13">
        <v>138321</v>
      </c>
      <c r="C193" t="str">
        <f t="shared" si="2"/>
        <v>C</v>
      </c>
      <c r="F193" s="12" t="s">
        <v>114</v>
      </c>
      <c r="G193" s="23">
        <v>0.47572889853995759</v>
      </c>
      <c r="H193" t="s">
        <v>14</v>
      </c>
      <c r="I193" t="s">
        <v>19</v>
      </c>
      <c r="J193">
        <v>137714</v>
      </c>
    </row>
    <row r="194" spans="1:10">
      <c r="A194" s="12" t="s">
        <v>258</v>
      </c>
      <c r="B194" s="13">
        <v>674351</v>
      </c>
      <c r="C194" t="str">
        <f t="shared" si="2"/>
        <v>C</v>
      </c>
      <c r="F194" s="12" t="s">
        <v>189</v>
      </c>
      <c r="G194" s="23">
        <v>0.44981400112591391</v>
      </c>
      <c r="H194" t="s">
        <v>14</v>
      </c>
      <c r="I194" t="s">
        <v>19</v>
      </c>
      <c r="J194">
        <v>128950</v>
      </c>
    </row>
    <row r="195" spans="1:10">
      <c r="A195" s="12" t="s">
        <v>293</v>
      </c>
      <c r="B195" s="13">
        <v>386191</v>
      </c>
      <c r="C195" t="str">
        <f t="shared" ref="C195:C238" si="3">VLOOKUP(B195,$N$34:$O$36,2,1)</f>
        <v>C</v>
      </c>
      <c r="F195" s="12" t="s">
        <v>234</v>
      </c>
      <c r="G195" s="23">
        <v>0.38123670240030894</v>
      </c>
      <c r="H195" t="s">
        <v>14</v>
      </c>
      <c r="I195" t="s">
        <v>19</v>
      </c>
      <c r="J195">
        <v>115369</v>
      </c>
    </row>
    <row r="196" spans="1:10">
      <c r="A196" s="12" t="s">
        <v>132</v>
      </c>
      <c r="B196" s="13">
        <v>473530</v>
      </c>
      <c r="C196" t="str">
        <f t="shared" si="3"/>
        <v>C</v>
      </c>
      <c r="F196" s="12" t="s">
        <v>88</v>
      </c>
      <c r="G196" s="23">
        <v>3.2941115388712305E-2</v>
      </c>
      <c r="H196" t="s">
        <v>15</v>
      </c>
      <c r="I196" t="s">
        <v>21</v>
      </c>
      <c r="J196">
        <v>91930</v>
      </c>
    </row>
    <row r="197" spans="1:10">
      <c r="A197" s="12" t="s">
        <v>130</v>
      </c>
      <c r="B197" s="13">
        <v>150862</v>
      </c>
      <c r="C197" t="str">
        <f t="shared" si="3"/>
        <v>C</v>
      </c>
      <c r="F197" s="12" t="s">
        <v>288</v>
      </c>
      <c r="G197" s="23">
        <v>2.9778559716877786E-2</v>
      </c>
      <c r="H197" t="s">
        <v>15</v>
      </c>
      <c r="I197" t="s">
        <v>21</v>
      </c>
      <c r="J197">
        <v>100642</v>
      </c>
    </row>
    <row r="198" spans="1:10">
      <c r="A198" s="12" t="s">
        <v>193</v>
      </c>
      <c r="B198" s="13">
        <v>168926</v>
      </c>
      <c r="C198" t="str">
        <f t="shared" si="3"/>
        <v>C</v>
      </c>
      <c r="F198" s="12" t="s">
        <v>261</v>
      </c>
      <c r="G198" s="23">
        <v>2.9093525651791127E-2</v>
      </c>
      <c r="H198" t="s">
        <v>15</v>
      </c>
      <c r="I198" t="s">
        <v>21</v>
      </c>
      <c r="J198">
        <v>96257</v>
      </c>
    </row>
    <row r="199" spans="1:10">
      <c r="A199" s="12" t="s">
        <v>59</v>
      </c>
      <c r="B199" s="13">
        <v>97904</v>
      </c>
      <c r="C199" t="str">
        <f t="shared" si="3"/>
        <v>C</v>
      </c>
      <c r="F199" s="12" t="s">
        <v>269</v>
      </c>
      <c r="G199" s="23">
        <v>2.8204743765437898E-2</v>
      </c>
      <c r="H199" t="s">
        <v>15</v>
      </c>
      <c r="I199" t="s">
        <v>21</v>
      </c>
      <c r="J199">
        <v>87299</v>
      </c>
    </row>
    <row r="200" spans="1:10">
      <c r="A200" s="12" t="s">
        <v>216</v>
      </c>
      <c r="B200" s="13">
        <v>121723</v>
      </c>
      <c r="C200" t="str">
        <f t="shared" si="3"/>
        <v>C</v>
      </c>
      <c r="F200" s="12" t="s">
        <v>263</v>
      </c>
      <c r="G200" s="23">
        <v>2.7650777431587621E-2</v>
      </c>
      <c r="H200" t="s">
        <v>15</v>
      </c>
      <c r="I200" t="s">
        <v>21</v>
      </c>
      <c r="J200">
        <v>103770</v>
      </c>
    </row>
    <row r="201" spans="1:10">
      <c r="A201" s="12" t="s">
        <v>169</v>
      </c>
      <c r="B201" s="13">
        <v>784850</v>
      </c>
      <c r="C201" t="str">
        <f t="shared" si="3"/>
        <v>C</v>
      </c>
      <c r="F201" s="12" t="s">
        <v>185</v>
      </c>
      <c r="G201" s="23">
        <v>2.7610012151728838E-2</v>
      </c>
      <c r="H201" t="s">
        <v>15</v>
      </c>
      <c r="I201" t="s">
        <v>21</v>
      </c>
      <c r="J201">
        <v>107523</v>
      </c>
    </row>
    <row r="202" spans="1:10">
      <c r="A202" s="12" t="s">
        <v>195</v>
      </c>
      <c r="B202" s="13">
        <v>105838</v>
      </c>
      <c r="C202" t="str">
        <f t="shared" si="3"/>
        <v>C</v>
      </c>
      <c r="F202" s="12" t="s">
        <v>58</v>
      </c>
      <c r="G202" s="23">
        <v>2.7350905435853341E-2</v>
      </c>
      <c r="H202" t="s">
        <v>15</v>
      </c>
      <c r="I202" t="s">
        <v>21</v>
      </c>
      <c r="J202">
        <v>100201</v>
      </c>
    </row>
    <row r="203" spans="1:10">
      <c r="A203" s="12" t="s">
        <v>148</v>
      </c>
      <c r="B203" s="13">
        <v>78690</v>
      </c>
      <c r="C203" t="str">
        <f t="shared" si="3"/>
        <v>C</v>
      </c>
      <c r="F203" s="12" t="s">
        <v>140</v>
      </c>
      <c r="G203" s="23">
        <v>2.6872180928793846E-2</v>
      </c>
      <c r="H203" t="s">
        <v>15</v>
      </c>
      <c r="I203" t="s">
        <v>21</v>
      </c>
      <c r="J203">
        <v>101198</v>
      </c>
    </row>
    <row r="204" spans="1:10">
      <c r="A204" s="12" t="s">
        <v>96</v>
      </c>
      <c r="B204" s="13">
        <v>64819</v>
      </c>
      <c r="C204" t="str">
        <f t="shared" si="3"/>
        <v>C</v>
      </c>
      <c r="F204" s="12" t="s">
        <v>161</v>
      </c>
      <c r="G204" s="23">
        <v>2.6484988635065407E-2</v>
      </c>
      <c r="H204" t="s">
        <v>15</v>
      </c>
      <c r="I204" t="s">
        <v>21</v>
      </c>
      <c r="J204">
        <v>94498</v>
      </c>
    </row>
    <row r="205" spans="1:10">
      <c r="A205" s="12" t="s">
        <v>177</v>
      </c>
      <c r="B205" s="13">
        <v>662303</v>
      </c>
      <c r="C205" t="str">
        <f t="shared" si="3"/>
        <v>C</v>
      </c>
      <c r="F205" s="12" t="s">
        <v>247</v>
      </c>
      <c r="G205" s="23">
        <v>2.546699854525606E-2</v>
      </c>
      <c r="H205" t="s">
        <v>15</v>
      </c>
      <c r="I205" t="s">
        <v>21</v>
      </c>
      <c r="J205">
        <v>99971</v>
      </c>
    </row>
    <row r="206" spans="1:10">
      <c r="A206" s="12" t="s">
        <v>62</v>
      </c>
      <c r="B206" s="13">
        <v>218330</v>
      </c>
      <c r="C206" t="str">
        <f t="shared" si="3"/>
        <v>C</v>
      </c>
      <c r="F206" s="12" t="s">
        <v>279</v>
      </c>
      <c r="G206" s="23">
        <v>2.474268028493376E-2</v>
      </c>
      <c r="H206" t="s">
        <v>15</v>
      </c>
      <c r="I206" t="s">
        <v>21</v>
      </c>
      <c r="J206">
        <v>106212</v>
      </c>
    </row>
    <row r="207" spans="1:10">
      <c r="A207" s="12" t="s">
        <v>265</v>
      </c>
      <c r="B207" s="13">
        <v>249130</v>
      </c>
      <c r="C207" t="str">
        <f t="shared" si="3"/>
        <v>C</v>
      </c>
      <c r="F207" s="12" t="s">
        <v>255</v>
      </c>
      <c r="G207" s="23">
        <v>2.2037527536286773E-2</v>
      </c>
      <c r="H207" t="s">
        <v>15</v>
      </c>
      <c r="I207" t="s">
        <v>21</v>
      </c>
      <c r="J207">
        <v>108505</v>
      </c>
    </row>
    <row r="208" spans="1:10">
      <c r="A208" s="12" t="s">
        <v>103</v>
      </c>
      <c r="B208" s="13">
        <v>96079</v>
      </c>
      <c r="C208" t="str">
        <f t="shared" si="3"/>
        <v>C</v>
      </c>
      <c r="F208" s="12" t="s">
        <v>254</v>
      </c>
      <c r="G208" s="23">
        <v>2.2036445573861148E-2</v>
      </c>
      <c r="H208" t="s">
        <v>15</v>
      </c>
      <c r="I208" t="s">
        <v>21</v>
      </c>
      <c r="J208">
        <v>95815</v>
      </c>
    </row>
    <row r="209" spans="1:10">
      <c r="A209" s="12" t="s">
        <v>163</v>
      </c>
      <c r="B209" s="13">
        <v>192164</v>
      </c>
      <c r="C209" t="str">
        <f t="shared" si="3"/>
        <v>C</v>
      </c>
      <c r="F209" s="12" t="s">
        <v>289</v>
      </c>
      <c r="G209" s="23">
        <v>2.1235994127764123E-2</v>
      </c>
      <c r="H209" t="s">
        <v>15</v>
      </c>
      <c r="I209" t="s">
        <v>21</v>
      </c>
      <c r="J209">
        <v>95041</v>
      </c>
    </row>
    <row r="210" spans="1:10">
      <c r="A210" s="12" t="s">
        <v>69</v>
      </c>
      <c r="B210" s="13">
        <v>1281153</v>
      </c>
      <c r="C210" t="str">
        <f t="shared" si="3"/>
        <v>C</v>
      </c>
      <c r="F210" s="12" t="s">
        <v>238</v>
      </c>
      <c r="G210" s="23">
        <v>2.1226505251632933E-2</v>
      </c>
      <c r="H210" t="s">
        <v>15</v>
      </c>
      <c r="I210" t="s">
        <v>21</v>
      </c>
      <c r="J210">
        <v>100474</v>
      </c>
    </row>
    <row r="211" spans="1:10">
      <c r="A211" s="12" t="s">
        <v>229</v>
      </c>
      <c r="B211" s="13">
        <v>105501</v>
      </c>
      <c r="C211" t="str">
        <f t="shared" si="3"/>
        <v>C</v>
      </c>
      <c r="F211" s="12" t="s">
        <v>195</v>
      </c>
      <c r="G211" s="23">
        <v>2.1204564044347486E-2</v>
      </c>
      <c r="H211" t="s">
        <v>15</v>
      </c>
      <c r="I211" t="s">
        <v>21</v>
      </c>
      <c r="J211">
        <v>105838</v>
      </c>
    </row>
    <row r="212" spans="1:10">
      <c r="A212" s="12" t="s">
        <v>253</v>
      </c>
      <c r="B212" s="13">
        <v>146165</v>
      </c>
      <c r="C212" t="str">
        <f t="shared" si="3"/>
        <v>C</v>
      </c>
      <c r="F212" s="12" t="s">
        <v>287</v>
      </c>
      <c r="G212" s="23">
        <v>2.0654182233060817E-2</v>
      </c>
      <c r="H212" t="s">
        <v>15</v>
      </c>
      <c r="I212" t="s">
        <v>21</v>
      </c>
      <c r="J212">
        <v>89504</v>
      </c>
    </row>
    <row r="213" spans="1:10">
      <c r="A213" s="12" t="s">
        <v>203</v>
      </c>
      <c r="B213" s="13">
        <v>132527</v>
      </c>
      <c r="C213" t="str">
        <f t="shared" si="3"/>
        <v>C</v>
      </c>
      <c r="F213" s="12" t="s">
        <v>157</v>
      </c>
      <c r="G213" s="23">
        <v>2.0648907862736664E-2</v>
      </c>
      <c r="H213" t="s">
        <v>15</v>
      </c>
      <c r="I213" t="s">
        <v>21</v>
      </c>
      <c r="J213">
        <v>98235</v>
      </c>
    </row>
    <row r="214" spans="1:10">
      <c r="A214" s="12" t="s">
        <v>178</v>
      </c>
      <c r="B214" s="13">
        <v>1135927</v>
      </c>
      <c r="C214" t="str">
        <f t="shared" si="3"/>
        <v>C</v>
      </c>
      <c r="F214" s="12" t="s">
        <v>286</v>
      </c>
      <c r="G214" s="23">
        <v>1.1102511517157122E-2</v>
      </c>
      <c r="H214" t="s">
        <v>15</v>
      </c>
      <c r="I214" t="s">
        <v>21</v>
      </c>
      <c r="J214">
        <v>94349</v>
      </c>
    </row>
    <row r="215" spans="1:10">
      <c r="A215" s="12" t="s">
        <v>236</v>
      </c>
      <c r="B215" s="13">
        <v>107055</v>
      </c>
      <c r="C215" t="str">
        <f t="shared" si="3"/>
        <v>C</v>
      </c>
      <c r="F215" s="12" t="s">
        <v>82</v>
      </c>
      <c r="G215" s="23">
        <v>0.23900609490051242</v>
      </c>
      <c r="H215" t="s">
        <v>15</v>
      </c>
      <c r="I215" t="s">
        <v>20</v>
      </c>
      <c r="J215">
        <v>52915</v>
      </c>
    </row>
    <row r="216" spans="1:10">
      <c r="A216" s="12" t="s">
        <v>79</v>
      </c>
      <c r="B216" s="13">
        <v>974474</v>
      </c>
      <c r="C216" t="str">
        <f t="shared" si="3"/>
        <v>C</v>
      </c>
      <c r="F216" s="12" t="s">
        <v>103</v>
      </c>
      <c r="G216" s="23">
        <v>0.19794505667117182</v>
      </c>
      <c r="H216" t="s">
        <v>15</v>
      </c>
      <c r="I216" t="s">
        <v>20</v>
      </c>
      <c r="J216">
        <v>96079</v>
      </c>
    </row>
    <row r="217" spans="1:10">
      <c r="A217" s="12" t="s">
        <v>252</v>
      </c>
      <c r="B217" s="13">
        <v>129343</v>
      </c>
      <c r="C217" t="str">
        <f t="shared" si="3"/>
        <v>C</v>
      </c>
      <c r="F217" s="12" t="s">
        <v>275</v>
      </c>
      <c r="G217" s="23">
        <v>0.19446365374174909</v>
      </c>
      <c r="H217" t="s">
        <v>15</v>
      </c>
      <c r="I217" t="s">
        <v>20</v>
      </c>
      <c r="J217">
        <v>108804</v>
      </c>
    </row>
    <row r="218" spans="1:10">
      <c r="A218" s="12" t="s">
        <v>210</v>
      </c>
      <c r="B218" s="13">
        <v>1336720</v>
      </c>
      <c r="C218" t="str">
        <f t="shared" si="3"/>
        <v>C</v>
      </c>
      <c r="F218" s="12" t="s">
        <v>202</v>
      </c>
      <c r="G218" s="23">
        <v>0.18482906978235297</v>
      </c>
      <c r="H218" t="s">
        <v>15</v>
      </c>
      <c r="I218" t="s">
        <v>20</v>
      </c>
      <c r="J218">
        <v>96164</v>
      </c>
    </row>
    <row r="219" spans="1:10">
      <c r="A219" s="12" t="s">
        <v>171</v>
      </c>
      <c r="B219" s="13">
        <v>113546</v>
      </c>
      <c r="C219" t="str">
        <f t="shared" si="3"/>
        <v>C</v>
      </c>
      <c r="F219" s="12" t="s">
        <v>60</v>
      </c>
      <c r="G219" s="23">
        <v>0.18469389847467005</v>
      </c>
      <c r="H219" t="s">
        <v>15</v>
      </c>
      <c r="I219" t="s">
        <v>20</v>
      </c>
      <c r="J219">
        <v>101968</v>
      </c>
    </row>
    <row r="220" spans="1:10">
      <c r="A220" s="12" t="s">
        <v>60</v>
      </c>
      <c r="B220" s="13">
        <v>101968</v>
      </c>
      <c r="C220" t="str">
        <f t="shared" si="3"/>
        <v>C</v>
      </c>
      <c r="F220" s="12" t="s">
        <v>155</v>
      </c>
      <c r="G220" s="23">
        <v>0.17349063064796283</v>
      </c>
      <c r="H220" t="s">
        <v>15</v>
      </c>
      <c r="I220" t="s">
        <v>20</v>
      </c>
      <c r="J220">
        <v>100294</v>
      </c>
    </row>
    <row r="221" spans="1:10">
      <c r="A221" s="12" t="s">
        <v>70</v>
      </c>
      <c r="B221" s="13">
        <v>812482</v>
      </c>
      <c r="C221" t="str">
        <f t="shared" si="3"/>
        <v>C</v>
      </c>
      <c r="F221" s="12" t="s">
        <v>244</v>
      </c>
      <c r="G221" s="23">
        <v>0.1532180839333295</v>
      </c>
      <c r="H221" t="s">
        <v>15</v>
      </c>
      <c r="I221" t="s">
        <v>20</v>
      </c>
      <c r="J221">
        <v>96508</v>
      </c>
    </row>
    <row r="222" spans="1:10">
      <c r="A222" s="12" t="s">
        <v>114</v>
      </c>
      <c r="B222" s="13">
        <v>137714</v>
      </c>
      <c r="C222" t="str">
        <f t="shared" si="3"/>
        <v>C</v>
      </c>
      <c r="F222" s="12" t="s">
        <v>127</v>
      </c>
      <c r="G222" s="23">
        <v>0.14634303983779029</v>
      </c>
      <c r="H222" t="s">
        <v>15</v>
      </c>
      <c r="I222" t="s">
        <v>20</v>
      </c>
      <c r="J222">
        <v>108060</v>
      </c>
    </row>
    <row r="223" spans="1:10">
      <c r="A223" s="12" t="s">
        <v>247</v>
      </c>
      <c r="B223" s="13">
        <v>99971</v>
      </c>
      <c r="C223" t="str">
        <f t="shared" si="3"/>
        <v>C</v>
      </c>
      <c r="F223" s="12" t="s">
        <v>164</v>
      </c>
      <c r="G223" s="23">
        <v>0.13148656850667953</v>
      </c>
      <c r="H223" t="s">
        <v>15</v>
      </c>
      <c r="I223" t="s">
        <v>20</v>
      </c>
      <c r="J223">
        <v>103915</v>
      </c>
    </row>
    <row r="224" spans="1:10">
      <c r="A224" s="12" t="s">
        <v>217</v>
      </c>
      <c r="B224" s="13">
        <v>120513</v>
      </c>
      <c r="C224" t="str">
        <f t="shared" si="3"/>
        <v>C</v>
      </c>
      <c r="F224" s="12" t="s">
        <v>99</v>
      </c>
      <c r="G224" s="23">
        <v>0.12690878166842021</v>
      </c>
      <c r="H224" t="s">
        <v>15</v>
      </c>
      <c r="I224" t="s">
        <v>20</v>
      </c>
      <c r="J224">
        <v>90247</v>
      </c>
    </row>
    <row r="225" spans="1:10">
      <c r="A225" s="12" t="s">
        <v>188</v>
      </c>
      <c r="B225" s="13">
        <v>303735</v>
      </c>
      <c r="C225" t="str">
        <f t="shared" si="3"/>
        <v>C</v>
      </c>
      <c r="F225" s="12" t="s">
        <v>138</v>
      </c>
      <c r="G225" s="23">
        <v>0.11469241465138119</v>
      </c>
      <c r="H225" t="s">
        <v>15</v>
      </c>
      <c r="I225" t="s">
        <v>20</v>
      </c>
      <c r="J225">
        <v>102822</v>
      </c>
    </row>
    <row r="226" spans="1:10">
      <c r="A226" s="12" t="s">
        <v>133</v>
      </c>
      <c r="B226" s="13">
        <v>405978</v>
      </c>
      <c r="C226" t="str">
        <f t="shared" si="3"/>
        <v>C</v>
      </c>
      <c r="F226" s="12" t="s">
        <v>229</v>
      </c>
      <c r="G226" s="23">
        <v>0.72242456374392694</v>
      </c>
      <c r="H226" t="s">
        <v>15</v>
      </c>
      <c r="I226" t="s">
        <v>19</v>
      </c>
      <c r="J226">
        <v>105501</v>
      </c>
    </row>
    <row r="227" spans="1:10">
      <c r="A227" s="12" t="s">
        <v>146</v>
      </c>
      <c r="B227" s="13">
        <v>220802</v>
      </c>
      <c r="C227" t="str">
        <f t="shared" si="3"/>
        <v>C</v>
      </c>
      <c r="F227" s="12" t="s">
        <v>251</v>
      </c>
      <c r="G227" s="23">
        <v>0.71541086036393409</v>
      </c>
      <c r="H227" t="s">
        <v>15</v>
      </c>
      <c r="I227" t="s">
        <v>19</v>
      </c>
      <c r="J227">
        <v>97317</v>
      </c>
    </row>
    <row r="228" spans="1:10">
      <c r="A228" s="12" t="s">
        <v>250</v>
      </c>
      <c r="B228" s="13">
        <v>319409</v>
      </c>
      <c r="C228" t="str">
        <f t="shared" si="3"/>
        <v>C</v>
      </c>
      <c r="F228" s="12" t="s">
        <v>181</v>
      </c>
      <c r="G228" s="23">
        <v>0.69454357623973528</v>
      </c>
      <c r="H228" t="s">
        <v>15</v>
      </c>
      <c r="I228" t="s">
        <v>19</v>
      </c>
      <c r="J228">
        <v>101723</v>
      </c>
    </row>
    <row r="229" spans="1:10">
      <c r="A229" s="12" t="s">
        <v>240</v>
      </c>
      <c r="B229" s="13">
        <v>92219</v>
      </c>
      <c r="C229" t="str">
        <f t="shared" si="3"/>
        <v>C</v>
      </c>
      <c r="F229" s="12" t="s">
        <v>240</v>
      </c>
      <c r="G229" s="23">
        <v>0.68979768796904084</v>
      </c>
      <c r="H229" t="s">
        <v>15</v>
      </c>
      <c r="I229" t="s">
        <v>19</v>
      </c>
      <c r="J229">
        <v>92219</v>
      </c>
    </row>
    <row r="230" spans="1:10">
      <c r="A230" s="12" t="s">
        <v>194</v>
      </c>
      <c r="B230" s="13">
        <v>288422</v>
      </c>
      <c r="C230" t="str">
        <f t="shared" si="3"/>
        <v>C</v>
      </c>
      <c r="F230" s="12" t="s">
        <v>83</v>
      </c>
      <c r="G230" s="23">
        <v>0.67688941260990532</v>
      </c>
      <c r="H230" t="s">
        <v>15</v>
      </c>
      <c r="I230" t="s">
        <v>19</v>
      </c>
      <c r="J230">
        <v>103042</v>
      </c>
    </row>
    <row r="231" spans="1:10">
      <c r="A231" s="12" t="s">
        <v>74</v>
      </c>
      <c r="B231" s="13">
        <v>163550</v>
      </c>
      <c r="C231" t="str">
        <f t="shared" si="3"/>
        <v>C</v>
      </c>
      <c r="F231" s="12" t="s">
        <v>212</v>
      </c>
      <c r="G231" s="23">
        <v>0.65344574272243494</v>
      </c>
      <c r="H231" t="s">
        <v>15</v>
      </c>
      <c r="I231" t="s">
        <v>19</v>
      </c>
      <c r="J231">
        <v>107732</v>
      </c>
    </row>
    <row r="232" spans="1:10">
      <c r="A232" s="12" t="s">
        <v>179</v>
      </c>
      <c r="B232" s="13">
        <v>676296</v>
      </c>
      <c r="C232" t="str">
        <f t="shared" si="3"/>
        <v>C</v>
      </c>
      <c r="F232" s="12" t="s">
        <v>148</v>
      </c>
      <c r="G232" s="23">
        <v>0.62167888534837767</v>
      </c>
      <c r="H232" t="s">
        <v>15</v>
      </c>
      <c r="I232" t="s">
        <v>19</v>
      </c>
      <c r="J232">
        <v>78690</v>
      </c>
    </row>
    <row r="233" spans="1:10">
      <c r="A233" s="12" t="s">
        <v>65</v>
      </c>
      <c r="B233" s="13">
        <v>387210</v>
      </c>
      <c r="C233" t="str">
        <f t="shared" si="3"/>
        <v>C</v>
      </c>
      <c r="F233" s="12" t="s">
        <v>98</v>
      </c>
      <c r="G233" s="23">
        <v>0.6201303438098501</v>
      </c>
      <c r="H233" t="s">
        <v>15</v>
      </c>
      <c r="I233" t="s">
        <v>19</v>
      </c>
      <c r="J233">
        <v>89558</v>
      </c>
    </row>
    <row r="234" spans="1:10">
      <c r="A234" s="12" t="s">
        <v>223</v>
      </c>
      <c r="B234" s="13">
        <v>314096</v>
      </c>
      <c r="C234" t="str">
        <f t="shared" si="3"/>
        <v>C</v>
      </c>
      <c r="F234" s="12" t="s">
        <v>200</v>
      </c>
      <c r="G234" s="23">
        <v>0.59705468684361784</v>
      </c>
      <c r="H234" t="s">
        <v>15</v>
      </c>
      <c r="I234" t="s">
        <v>19</v>
      </c>
      <c r="J234">
        <v>91763</v>
      </c>
    </row>
    <row r="235" spans="1:10">
      <c r="A235" s="12" t="s">
        <v>197</v>
      </c>
      <c r="B235" s="13">
        <v>587659</v>
      </c>
      <c r="C235" t="str">
        <f t="shared" si="3"/>
        <v>C</v>
      </c>
      <c r="F235" s="12" t="s">
        <v>236</v>
      </c>
      <c r="G235" s="23">
        <v>0.58063501853697619</v>
      </c>
      <c r="H235" t="s">
        <v>15</v>
      </c>
      <c r="I235" t="s">
        <v>19</v>
      </c>
      <c r="J235">
        <v>107055</v>
      </c>
    </row>
    <row r="236" spans="1:10">
      <c r="A236" s="12" t="s">
        <v>71</v>
      </c>
      <c r="B236" s="13">
        <v>1061619</v>
      </c>
      <c r="C236" t="str">
        <f t="shared" si="3"/>
        <v>C</v>
      </c>
      <c r="F236" s="12" t="s">
        <v>59</v>
      </c>
      <c r="G236" s="23">
        <v>0.55444963200539665</v>
      </c>
      <c r="H236" t="s">
        <v>15</v>
      </c>
      <c r="I236" t="s">
        <v>19</v>
      </c>
      <c r="J236">
        <v>97904</v>
      </c>
    </row>
    <row r="237" spans="1:10">
      <c r="A237" s="12" t="s">
        <v>125</v>
      </c>
      <c r="B237" s="13">
        <v>272595</v>
      </c>
      <c r="C237" t="str">
        <f t="shared" si="3"/>
        <v>C</v>
      </c>
      <c r="F237" s="12" t="s">
        <v>237</v>
      </c>
      <c r="G237" s="23">
        <v>0.36501021011771706</v>
      </c>
      <c r="H237" t="s">
        <v>15</v>
      </c>
      <c r="I237" t="s">
        <v>19</v>
      </c>
      <c r="J237">
        <v>73356</v>
      </c>
    </row>
    <row r="238" spans="1:10">
      <c r="A238" s="12" t="s">
        <v>157</v>
      </c>
      <c r="B238" s="13">
        <v>98235</v>
      </c>
      <c r="C238" t="str">
        <f t="shared" si="3"/>
        <v>C</v>
      </c>
      <c r="F238" s="12" t="s">
        <v>96</v>
      </c>
      <c r="G238" s="23">
        <v>0.29539279770304039</v>
      </c>
      <c r="H238" t="s">
        <v>15</v>
      </c>
      <c r="I238" t="s">
        <v>19</v>
      </c>
      <c r="J238">
        <v>64819</v>
      </c>
    </row>
    <row r="246" spans="8:10">
      <c r="H246" t="e">
        <v>#N/A</v>
      </c>
      <c r="J246" t="e">
        <v>#N/A</v>
      </c>
    </row>
    <row r="247" spans="8:10">
      <c r="H247" t="e">
        <v>#N/A</v>
      </c>
      <c r="J247" t="e">
        <v>#N/A</v>
      </c>
    </row>
    <row r="248" spans="8:10">
      <c r="H248" t="e">
        <v>#N/A</v>
      </c>
      <c r="J248" t="e">
        <v>#N/A</v>
      </c>
    </row>
    <row r="249" spans="8:10">
      <c r="H249" t="e">
        <v>#N/A</v>
      </c>
      <c r="J249" t="e">
        <v>#N/A</v>
      </c>
    </row>
    <row r="250" spans="8:10">
      <c r="H250" t="e">
        <v>#N/A</v>
      </c>
      <c r="J250" t="e">
        <v>#N/A</v>
      </c>
    </row>
    <row r="251" spans="8:10">
      <c r="H251" t="e">
        <v>#N/A</v>
      </c>
      <c r="J251" t="e">
        <v>#N/A</v>
      </c>
    </row>
    <row r="252" spans="8:10">
      <c r="H252" t="e">
        <v>#N/A</v>
      </c>
      <c r="J252" t="e">
        <v>#N/A</v>
      </c>
    </row>
    <row r="253" spans="8:10">
      <c r="H253" t="e">
        <v>#N/A</v>
      </c>
      <c r="J253" t="e">
        <v>#N/A</v>
      </c>
    </row>
    <row r="254" spans="8:10">
      <c r="H254" t="e">
        <v>#N/A</v>
      </c>
      <c r="J254" t="e">
        <v>#N/A</v>
      </c>
    </row>
    <row r="255" spans="8:10">
      <c r="H255" t="e">
        <v>#N/A</v>
      </c>
      <c r="J255" t="e">
        <v>#N/A</v>
      </c>
    </row>
    <row r="256" spans="8:10">
      <c r="H256" t="e">
        <v>#N/A</v>
      </c>
      <c r="J256" t="e">
        <v>#N/A</v>
      </c>
    </row>
    <row r="257" spans="8:10">
      <c r="H257" t="e">
        <v>#N/A</v>
      </c>
      <c r="J257" t="e">
        <v>#N/A</v>
      </c>
    </row>
    <row r="258" spans="8:10">
      <c r="H258" t="e">
        <v>#N/A</v>
      </c>
      <c r="J258" t="e">
        <v>#N/A</v>
      </c>
    </row>
    <row r="259" spans="8:10">
      <c r="H259" t="e">
        <v>#N/A</v>
      </c>
      <c r="J259" t="e">
        <v>#N/A</v>
      </c>
    </row>
    <row r="260" spans="8:10">
      <c r="H260" t="e">
        <v>#N/A</v>
      </c>
      <c r="J260" t="e">
        <v>#N/A</v>
      </c>
    </row>
    <row r="261" spans="8:10">
      <c r="H261" t="e">
        <v>#N/A</v>
      </c>
      <c r="J261" t="e">
        <v>#N/A</v>
      </c>
    </row>
    <row r="262" spans="8:10">
      <c r="H262" t="e">
        <v>#N/A</v>
      </c>
      <c r="J262" t="e">
        <v>#N/A</v>
      </c>
    </row>
    <row r="263" spans="8:10">
      <c r="H263" t="e">
        <v>#N/A</v>
      </c>
      <c r="J263" t="e">
        <v>#N/A</v>
      </c>
    </row>
    <row r="264" spans="8:10">
      <c r="H264" t="e">
        <v>#N/A</v>
      </c>
      <c r="J264" t="e">
        <v>#N/A</v>
      </c>
    </row>
    <row r="265" spans="8:10">
      <c r="H265" t="e">
        <v>#N/A</v>
      </c>
      <c r="J265" t="e">
        <v>#N/A</v>
      </c>
    </row>
    <row r="266" spans="8:10">
      <c r="H266" t="e">
        <v>#N/A</v>
      </c>
      <c r="J266" t="e">
        <v>#N/A</v>
      </c>
    </row>
    <row r="267" spans="8:10">
      <c r="H267" t="e">
        <v>#N/A</v>
      </c>
      <c r="J267" t="e">
        <v>#N/A</v>
      </c>
    </row>
    <row r="268" spans="8:10">
      <c r="H268" t="e">
        <v>#N/A</v>
      </c>
      <c r="J268" t="e">
        <v>#N/A</v>
      </c>
    </row>
    <row r="269" spans="8:10">
      <c r="H269" t="e">
        <v>#N/A</v>
      </c>
      <c r="J269" t="e">
        <v>#N/A</v>
      </c>
    </row>
    <row r="270" spans="8:10">
      <c r="H270" t="e">
        <v>#N/A</v>
      </c>
      <c r="J270" t="e">
        <v>#N/A</v>
      </c>
    </row>
    <row r="271" spans="8:10">
      <c r="H271" t="e">
        <v>#N/A</v>
      </c>
      <c r="J271" t="e">
        <v>#N/A</v>
      </c>
    </row>
    <row r="272" spans="8:10">
      <c r="H272" t="e">
        <v>#N/A</v>
      </c>
      <c r="J272" t="e">
        <v>#N/A</v>
      </c>
    </row>
    <row r="273" spans="8:10">
      <c r="H273" t="e">
        <v>#N/A</v>
      </c>
      <c r="J273" t="e">
        <v>#N/A</v>
      </c>
    </row>
    <row r="274" spans="8:10">
      <c r="H274" t="e">
        <v>#N/A</v>
      </c>
      <c r="J274" t="e">
        <v>#N/A</v>
      </c>
    </row>
    <row r="275" spans="8:10">
      <c r="H275" t="e">
        <v>#N/A</v>
      </c>
      <c r="J275" t="e">
        <v>#N/A</v>
      </c>
    </row>
    <row r="276" spans="8:10">
      <c r="H276" t="e">
        <v>#N/A</v>
      </c>
      <c r="J276" t="e">
        <v>#N/A</v>
      </c>
    </row>
    <row r="277" spans="8:10">
      <c r="H277" t="e">
        <v>#N/A</v>
      </c>
      <c r="J277" t="e">
        <v>#N/A</v>
      </c>
    </row>
    <row r="278" spans="8:10">
      <c r="H278" t="e">
        <v>#N/A</v>
      </c>
      <c r="J278" t="e">
        <v>#N/A</v>
      </c>
    </row>
    <row r="279" spans="8:10">
      <c r="H279" t="e">
        <v>#N/A</v>
      </c>
      <c r="J279" t="e">
        <v>#N/A</v>
      </c>
    </row>
    <row r="280" spans="8:10">
      <c r="H280" t="e">
        <v>#N/A</v>
      </c>
      <c r="J280" t="e">
        <v>#N/A</v>
      </c>
    </row>
    <row r="281" spans="8:10">
      <c r="H281" t="e">
        <v>#N/A</v>
      </c>
      <c r="J281" t="e">
        <v>#N/A</v>
      </c>
    </row>
    <row r="282" spans="8:10">
      <c r="H282" t="e">
        <v>#N/A</v>
      </c>
      <c r="J282" t="e">
        <v>#N/A</v>
      </c>
    </row>
    <row r="283" spans="8:10">
      <c r="H283" t="e">
        <v>#N/A</v>
      </c>
      <c r="J283" t="e">
        <v>#N/A</v>
      </c>
    </row>
    <row r="284" spans="8:10">
      <c r="H284" t="e">
        <v>#N/A</v>
      </c>
      <c r="J284" t="e">
        <v>#N/A</v>
      </c>
    </row>
    <row r="285" spans="8:10">
      <c r="H285" t="e">
        <v>#N/A</v>
      </c>
      <c r="J285" t="e">
        <v>#N/A</v>
      </c>
    </row>
    <row r="286" spans="8:10">
      <c r="H286" t="e">
        <v>#N/A</v>
      </c>
      <c r="J286" t="e">
        <v>#N/A</v>
      </c>
    </row>
    <row r="287" spans="8:10">
      <c r="H287" t="e">
        <v>#N/A</v>
      </c>
      <c r="J287" t="e">
        <v>#N/A</v>
      </c>
    </row>
    <row r="288" spans="8:10">
      <c r="H288" t="e">
        <v>#N/A</v>
      </c>
      <c r="J288" t="e">
        <v>#N/A</v>
      </c>
    </row>
    <row r="289" spans="8:10">
      <c r="H289" t="e">
        <v>#N/A</v>
      </c>
      <c r="J289" t="e">
        <v>#N/A</v>
      </c>
    </row>
    <row r="290" spans="8:10">
      <c r="H290" t="e">
        <v>#N/A</v>
      </c>
      <c r="J290" t="e">
        <v>#N/A</v>
      </c>
    </row>
    <row r="291" spans="8:10">
      <c r="H291" t="e">
        <v>#N/A</v>
      </c>
      <c r="J291" t="e">
        <v>#N/A</v>
      </c>
    </row>
    <row r="292" spans="8:10">
      <c r="H292" t="e">
        <v>#N/A</v>
      </c>
      <c r="J292" t="e">
        <v>#N/A</v>
      </c>
    </row>
    <row r="293" spans="8:10">
      <c r="H293" t="e">
        <v>#N/A</v>
      </c>
      <c r="J293" t="e">
        <v>#N/A</v>
      </c>
    </row>
    <row r="294" spans="8:10">
      <c r="H294" t="e">
        <v>#N/A</v>
      </c>
      <c r="J294" t="e">
        <v>#N/A</v>
      </c>
    </row>
    <row r="295" spans="8:10">
      <c r="H295" t="e">
        <v>#N/A</v>
      </c>
      <c r="J295" t="e">
        <v>#N/A</v>
      </c>
    </row>
    <row r="296" spans="8:10">
      <c r="H296" t="e">
        <v>#N/A</v>
      </c>
      <c r="J296" t="e">
        <v>#N/A</v>
      </c>
    </row>
    <row r="297" spans="8:10">
      <c r="H297" t="e">
        <v>#N/A</v>
      </c>
      <c r="J297" t="e">
        <v>#N/A</v>
      </c>
    </row>
    <row r="298" spans="8:10">
      <c r="H298" t="e">
        <v>#N/A</v>
      </c>
      <c r="J298" t="e">
        <v>#N/A</v>
      </c>
    </row>
    <row r="299" spans="8:10">
      <c r="H299" t="e">
        <v>#N/A</v>
      </c>
      <c r="J299" t="e">
        <v>#N/A</v>
      </c>
    </row>
    <row r="300" spans="8:10">
      <c r="H300" t="e">
        <v>#N/A</v>
      </c>
      <c r="J300" t="e">
        <v>#N/A</v>
      </c>
    </row>
    <row r="301" spans="8:10">
      <c r="H301" t="e">
        <v>#N/A</v>
      </c>
      <c r="J301" t="e">
        <v>#N/A</v>
      </c>
    </row>
    <row r="302" spans="8:10">
      <c r="H302" t="e">
        <v>#N/A</v>
      </c>
      <c r="J302" t="e">
        <v>#N/A</v>
      </c>
    </row>
    <row r="303" spans="8:10">
      <c r="H303" t="e">
        <v>#N/A</v>
      </c>
      <c r="J303" t="e">
        <v>#N/A</v>
      </c>
    </row>
    <row r="304" spans="8:10">
      <c r="H304" t="e">
        <v>#N/A</v>
      </c>
      <c r="J304" t="e">
        <v>#N/A</v>
      </c>
    </row>
    <row r="305" spans="8:10">
      <c r="H305" t="e">
        <v>#N/A</v>
      </c>
      <c r="J305" t="e">
        <v>#N/A</v>
      </c>
    </row>
    <row r="306" spans="8:10">
      <c r="H306" t="e">
        <v>#N/A</v>
      </c>
      <c r="J306" t="e">
        <v>#N/A</v>
      </c>
    </row>
    <row r="307" spans="8:10">
      <c r="H307" t="e">
        <v>#N/A</v>
      </c>
      <c r="J307" t="e">
        <v>#N/A</v>
      </c>
    </row>
    <row r="308" spans="8:10">
      <c r="H308" t="e">
        <v>#N/A</v>
      </c>
      <c r="J308" t="e">
        <v>#N/A</v>
      </c>
    </row>
    <row r="309" spans="8:10">
      <c r="H309" t="e">
        <v>#N/A</v>
      </c>
      <c r="J309" t="e">
        <v>#N/A</v>
      </c>
    </row>
    <row r="310" spans="8:10">
      <c r="H310" t="e">
        <v>#N/A</v>
      </c>
      <c r="J310" t="e">
        <v>#N/A</v>
      </c>
    </row>
    <row r="311" spans="8:10">
      <c r="H311" t="e">
        <v>#N/A</v>
      </c>
      <c r="J311" t="e">
        <v>#N/A</v>
      </c>
    </row>
    <row r="312" spans="8:10">
      <c r="H312" t="e">
        <v>#N/A</v>
      </c>
      <c r="J312" t="e">
        <v>#N/A</v>
      </c>
    </row>
    <row r="313" spans="8:10">
      <c r="H313" t="e">
        <v>#N/A</v>
      </c>
      <c r="J313" t="e">
        <v>#N/A</v>
      </c>
    </row>
    <row r="314" spans="8:10">
      <c r="H314" t="e">
        <v>#N/A</v>
      </c>
      <c r="J314" t="e">
        <v>#N/A</v>
      </c>
    </row>
    <row r="315" spans="8:10">
      <c r="H315" t="e">
        <v>#N/A</v>
      </c>
      <c r="J315" t="e">
        <v>#N/A</v>
      </c>
    </row>
    <row r="316" spans="8:10">
      <c r="H316" t="e">
        <v>#N/A</v>
      </c>
      <c r="J316" t="e">
        <v>#N/A</v>
      </c>
    </row>
    <row r="317" spans="8:10">
      <c r="H317" t="e">
        <v>#N/A</v>
      </c>
      <c r="J317" t="e">
        <v>#N/A</v>
      </c>
    </row>
    <row r="318" spans="8:10">
      <c r="H318" t="e">
        <v>#N/A</v>
      </c>
      <c r="J318" t="e">
        <v>#N/A</v>
      </c>
    </row>
    <row r="319" spans="8:10">
      <c r="H319" t="e">
        <v>#N/A</v>
      </c>
      <c r="J319" t="e">
        <v>#N/A</v>
      </c>
    </row>
    <row r="320" spans="8:10">
      <c r="H320" t="e">
        <v>#N/A</v>
      </c>
      <c r="J320" t="e">
        <v>#N/A</v>
      </c>
    </row>
    <row r="321" spans="8:10">
      <c r="H321" t="e">
        <v>#N/A</v>
      </c>
      <c r="J321" t="e">
        <v>#N/A</v>
      </c>
    </row>
    <row r="322" spans="8:10">
      <c r="H322" t="e">
        <v>#N/A</v>
      </c>
      <c r="J322" t="e">
        <v>#N/A</v>
      </c>
    </row>
    <row r="323" spans="8:10">
      <c r="H323" t="e">
        <v>#N/A</v>
      </c>
      <c r="J323" t="e">
        <v>#N/A</v>
      </c>
    </row>
    <row r="324" spans="8:10">
      <c r="H324" t="e">
        <v>#N/A</v>
      </c>
      <c r="J324" t="e">
        <v>#N/A</v>
      </c>
    </row>
    <row r="325" spans="8:10">
      <c r="H325" t="e">
        <v>#N/A</v>
      </c>
      <c r="J325" t="e">
        <v>#N/A</v>
      </c>
    </row>
    <row r="326" spans="8:10">
      <c r="H326" t="e">
        <v>#N/A</v>
      </c>
      <c r="J326" t="e">
        <v>#N/A</v>
      </c>
    </row>
    <row r="327" spans="8:10">
      <c r="H327" t="e">
        <v>#N/A</v>
      </c>
      <c r="J327" t="e">
        <v>#N/A</v>
      </c>
    </row>
    <row r="328" spans="8:10">
      <c r="H328" t="e">
        <v>#N/A</v>
      </c>
      <c r="J328" t="e">
        <v>#N/A</v>
      </c>
    </row>
    <row r="329" spans="8:10">
      <c r="H329" t="e">
        <v>#N/A</v>
      </c>
      <c r="J329" t="e">
        <v>#N/A</v>
      </c>
    </row>
    <row r="330" spans="8:10">
      <c r="H330" t="e">
        <v>#N/A</v>
      </c>
      <c r="J330" t="e">
        <v>#N/A</v>
      </c>
    </row>
    <row r="331" spans="8:10">
      <c r="H331" t="e">
        <v>#N/A</v>
      </c>
      <c r="J331" t="e">
        <v>#N/A</v>
      </c>
    </row>
    <row r="332" spans="8:10">
      <c r="H332" t="e">
        <v>#N/A</v>
      </c>
      <c r="J332" t="e">
        <v>#N/A</v>
      </c>
    </row>
    <row r="333" spans="8:10">
      <c r="H333" t="e">
        <v>#N/A</v>
      </c>
      <c r="J333" t="e">
        <v>#N/A</v>
      </c>
    </row>
    <row r="334" spans="8:10">
      <c r="H334" t="e">
        <v>#N/A</v>
      </c>
      <c r="J334" t="e">
        <v>#N/A</v>
      </c>
    </row>
    <row r="335" spans="8:10">
      <c r="H335" t="e">
        <v>#N/A</v>
      </c>
      <c r="J335" t="e">
        <v>#N/A</v>
      </c>
    </row>
    <row r="336" spans="8:10">
      <c r="H336" t="e">
        <v>#N/A</v>
      </c>
      <c r="J336" t="e">
        <v>#N/A</v>
      </c>
    </row>
    <row r="337" spans="8:10">
      <c r="H337" t="e">
        <v>#N/A</v>
      </c>
      <c r="J337" t="e">
        <v>#N/A</v>
      </c>
    </row>
    <row r="338" spans="8:10">
      <c r="H338" t="e">
        <v>#N/A</v>
      </c>
      <c r="J338" t="e">
        <v>#N/A</v>
      </c>
    </row>
    <row r="339" spans="8:10">
      <c r="H339" t="e">
        <v>#N/A</v>
      </c>
      <c r="J339" t="e">
        <v>#N/A</v>
      </c>
    </row>
    <row r="340" spans="8:10">
      <c r="H340" t="e">
        <v>#N/A</v>
      </c>
      <c r="J340" t="e">
        <v>#N/A</v>
      </c>
    </row>
    <row r="341" spans="8:10">
      <c r="H341" t="e">
        <v>#N/A</v>
      </c>
      <c r="J341" t="e">
        <v>#N/A</v>
      </c>
    </row>
    <row r="342" spans="8:10">
      <c r="H342" t="e">
        <v>#N/A</v>
      </c>
      <c r="J342" t="e">
        <v>#N/A</v>
      </c>
    </row>
    <row r="343" spans="8:10">
      <c r="H343" t="e">
        <v>#N/A</v>
      </c>
      <c r="J343" t="e">
        <v>#N/A</v>
      </c>
    </row>
    <row r="344" spans="8:10">
      <c r="H344" t="e">
        <v>#N/A</v>
      </c>
      <c r="J344" t="e">
        <v>#N/A</v>
      </c>
    </row>
    <row r="345" spans="8:10">
      <c r="H345" t="e">
        <v>#N/A</v>
      </c>
      <c r="J345" t="e">
        <v>#N/A</v>
      </c>
    </row>
    <row r="346" spans="8:10">
      <c r="H346" t="e">
        <v>#N/A</v>
      </c>
      <c r="J346" t="e">
        <v>#N/A</v>
      </c>
    </row>
    <row r="347" spans="8:10">
      <c r="H347" t="e">
        <v>#N/A</v>
      </c>
      <c r="J347" t="e">
        <v>#N/A</v>
      </c>
    </row>
    <row r="348" spans="8:10">
      <c r="H348" t="e">
        <v>#N/A</v>
      </c>
      <c r="J348" t="e">
        <v>#N/A</v>
      </c>
    </row>
    <row r="349" spans="8:10">
      <c r="H349" t="e">
        <v>#N/A</v>
      </c>
      <c r="J349" t="e">
        <v>#N/A</v>
      </c>
    </row>
    <row r="350" spans="8:10">
      <c r="H350" t="e">
        <v>#N/A</v>
      </c>
      <c r="J350" t="e">
        <v>#N/A</v>
      </c>
    </row>
    <row r="351" spans="8:10">
      <c r="H351" t="e">
        <v>#N/A</v>
      </c>
      <c r="J351" t="e">
        <v>#N/A</v>
      </c>
    </row>
    <row r="352" spans="8:10">
      <c r="H352" t="e">
        <v>#N/A</v>
      </c>
      <c r="J352" t="e">
        <v>#N/A</v>
      </c>
    </row>
    <row r="353" spans="8:10">
      <c r="H353" t="e">
        <v>#N/A</v>
      </c>
      <c r="J353" t="e">
        <v>#N/A</v>
      </c>
    </row>
    <row r="354" spans="8:10">
      <c r="H354" t="e">
        <v>#N/A</v>
      </c>
      <c r="J354" t="e">
        <v>#N/A</v>
      </c>
    </row>
    <row r="355" spans="8:10">
      <c r="H355" t="e">
        <v>#N/A</v>
      </c>
      <c r="J355" t="e">
        <v>#N/A</v>
      </c>
    </row>
    <row r="356" spans="8:10">
      <c r="H356" t="e">
        <v>#N/A</v>
      </c>
      <c r="J356" t="e">
        <v>#N/A</v>
      </c>
    </row>
    <row r="357" spans="8:10">
      <c r="H357" t="e">
        <v>#N/A</v>
      </c>
      <c r="J357" t="e">
        <v>#N/A</v>
      </c>
    </row>
    <row r="358" spans="8:10">
      <c r="H358" t="e">
        <v>#N/A</v>
      </c>
      <c r="J358" t="e">
        <v>#N/A</v>
      </c>
    </row>
    <row r="359" spans="8:10">
      <c r="H359" t="e">
        <v>#N/A</v>
      </c>
      <c r="J359" t="e">
        <v>#N/A</v>
      </c>
    </row>
    <row r="360" spans="8:10">
      <c r="H360" t="e">
        <v>#N/A</v>
      </c>
      <c r="J360" t="e">
        <v>#N/A</v>
      </c>
    </row>
    <row r="361" spans="8:10">
      <c r="H361" t="e">
        <v>#N/A</v>
      </c>
      <c r="J361" t="e">
        <v>#N/A</v>
      </c>
    </row>
    <row r="362" spans="8:10">
      <c r="H362" t="e">
        <v>#N/A</v>
      </c>
      <c r="J362" t="e">
        <v>#N/A</v>
      </c>
    </row>
    <row r="363" spans="8:10">
      <c r="H363" t="e">
        <v>#N/A</v>
      </c>
      <c r="J363" t="e">
        <v>#N/A</v>
      </c>
    </row>
    <row r="364" spans="8:10">
      <c r="H364" t="e">
        <v>#N/A</v>
      </c>
      <c r="J364" t="e">
        <v>#N/A</v>
      </c>
    </row>
    <row r="365" spans="8:10">
      <c r="H365" t="e">
        <v>#N/A</v>
      </c>
      <c r="J365" t="e">
        <v>#N/A</v>
      </c>
    </row>
    <row r="366" spans="8:10">
      <c r="H366" t="e">
        <v>#N/A</v>
      </c>
      <c r="J366" t="e">
        <v>#N/A</v>
      </c>
    </row>
    <row r="367" spans="8:10">
      <c r="H367" t="e">
        <v>#N/A</v>
      </c>
      <c r="J367" t="e">
        <v>#N/A</v>
      </c>
    </row>
    <row r="368" spans="8:10">
      <c r="H368" t="e">
        <v>#N/A</v>
      </c>
      <c r="J368" t="e">
        <v>#N/A</v>
      </c>
    </row>
    <row r="369" spans="8:10">
      <c r="H369" t="e">
        <v>#N/A</v>
      </c>
      <c r="J369" t="e">
        <v>#N/A</v>
      </c>
    </row>
    <row r="370" spans="8:10">
      <c r="H370" t="e">
        <v>#N/A</v>
      </c>
      <c r="J370" t="e">
        <v>#N/A</v>
      </c>
    </row>
    <row r="371" spans="8:10">
      <c r="H371" t="e">
        <v>#N/A</v>
      </c>
      <c r="J371" t="e">
        <v>#N/A</v>
      </c>
    </row>
    <row r="372" spans="8:10">
      <c r="H372" t="e">
        <v>#N/A</v>
      </c>
      <c r="J372" t="e">
        <v>#N/A</v>
      </c>
    </row>
    <row r="373" spans="8:10">
      <c r="H373" t="e">
        <v>#N/A</v>
      </c>
      <c r="J373" t="e">
        <v>#N/A</v>
      </c>
    </row>
    <row r="374" spans="8:10">
      <c r="H374" t="e">
        <v>#N/A</v>
      </c>
      <c r="J374" t="e">
        <v>#N/A</v>
      </c>
    </row>
    <row r="375" spans="8:10">
      <c r="H375" t="e">
        <v>#N/A</v>
      </c>
      <c r="J375" t="e">
        <v>#N/A</v>
      </c>
    </row>
    <row r="376" spans="8:10">
      <c r="H376" t="e">
        <v>#N/A</v>
      </c>
      <c r="J376" t="e">
        <v>#N/A</v>
      </c>
    </row>
    <row r="377" spans="8:10">
      <c r="H377" t="e">
        <v>#N/A</v>
      </c>
      <c r="J377" t="e">
        <v>#N/A</v>
      </c>
    </row>
    <row r="378" spans="8:10">
      <c r="H378" t="e">
        <v>#N/A</v>
      </c>
      <c r="J378" t="e">
        <v>#N/A</v>
      </c>
    </row>
    <row r="379" spans="8:10">
      <c r="H379" t="e">
        <v>#N/A</v>
      </c>
      <c r="J379" t="e">
        <v>#N/A</v>
      </c>
    </row>
    <row r="380" spans="8:10">
      <c r="H380" t="e">
        <v>#N/A</v>
      </c>
      <c r="J380" t="e">
        <v>#N/A</v>
      </c>
    </row>
    <row r="381" spans="8:10">
      <c r="H381" t="e">
        <v>#N/A</v>
      </c>
      <c r="J381" t="e">
        <v>#N/A</v>
      </c>
    </row>
    <row r="382" spans="8:10">
      <c r="H382" t="e">
        <v>#N/A</v>
      </c>
      <c r="J382" t="e">
        <v>#N/A</v>
      </c>
    </row>
    <row r="383" spans="8:10">
      <c r="H383" t="e">
        <v>#N/A</v>
      </c>
      <c r="J383" t="e">
        <v>#N/A</v>
      </c>
    </row>
    <row r="384" spans="8:10">
      <c r="H384" t="e">
        <v>#N/A</v>
      </c>
      <c r="J384" t="e">
        <v>#N/A</v>
      </c>
    </row>
    <row r="385" spans="8:10">
      <c r="H385" t="e">
        <v>#N/A</v>
      </c>
      <c r="J385" t="e">
        <v>#N/A</v>
      </c>
    </row>
    <row r="386" spans="8:10">
      <c r="H386" t="e">
        <v>#N/A</v>
      </c>
      <c r="J386" t="e">
        <v>#N/A</v>
      </c>
    </row>
    <row r="387" spans="8:10">
      <c r="H387" t="e">
        <v>#N/A</v>
      </c>
      <c r="J387" t="e">
        <v>#N/A</v>
      </c>
    </row>
    <row r="388" spans="8:10">
      <c r="H388" t="e">
        <v>#N/A</v>
      </c>
      <c r="J388" t="e">
        <v>#N/A</v>
      </c>
    </row>
    <row r="389" spans="8:10">
      <c r="H389" t="e">
        <v>#N/A</v>
      </c>
      <c r="J389" t="e">
        <v>#N/A</v>
      </c>
    </row>
    <row r="390" spans="8:10">
      <c r="H390" t="e">
        <v>#N/A</v>
      </c>
      <c r="J390" t="e">
        <v>#N/A</v>
      </c>
    </row>
    <row r="391" spans="8:10">
      <c r="H391" t="e">
        <v>#N/A</v>
      </c>
      <c r="J391" t="e">
        <v>#N/A</v>
      </c>
    </row>
    <row r="392" spans="8:10">
      <c r="H392" t="e">
        <v>#N/A</v>
      </c>
      <c r="J392" t="e">
        <v>#N/A</v>
      </c>
    </row>
    <row r="393" spans="8:10">
      <c r="H393" t="e">
        <v>#N/A</v>
      </c>
      <c r="J393" t="e">
        <v>#N/A</v>
      </c>
    </row>
    <row r="394" spans="8:10">
      <c r="H394" t="e">
        <v>#N/A</v>
      </c>
      <c r="J394" t="e">
        <v>#N/A</v>
      </c>
    </row>
    <row r="395" spans="8:10">
      <c r="H395" t="e">
        <v>#N/A</v>
      </c>
      <c r="J395" t="e">
        <v>#N/A</v>
      </c>
    </row>
    <row r="396" spans="8:10">
      <c r="H396" t="e">
        <v>#N/A</v>
      </c>
      <c r="J396" t="e">
        <v>#N/A</v>
      </c>
    </row>
    <row r="397" spans="8:10">
      <c r="H397" t="e">
        <v>#N/A</v>
      </c>
      <c r="J397" t="e">
        <v>#N/A</v>
      </c>
    </row>
    <row r="398" spans="8:10">
      <c r="H398" t="e">
        <v>#N/A</v>
      </c>
      <c r="J398" t="e">
        <v>#N/A</v>
      </c>
    </row>
    <row r="399" spans="8:10">
      <c r="H399" t="e">
        <v>#N/A</v>
      </c>
      <c r="J399" t="e">
        <v>#N/A</v>
      </c>
    </row>
    <row r="400" spans="8:10">
      <c r="H400" t="e">
        <v>#N/A</v>
      </c>
      <c r="J400" t="e">
        <v>#N/A</v>
      </c>
    </row>
    <row r="401" spans="8:10">
      <c r="H401" t="e">
        <v>#N/A</v>
      </c>
      <c r="J401" t="e">
        <v>#N/A</v>
      </c>
    </row>
    <row r="402" spans="8:10">
      <c r="H402" t="e">
        <v>#N/A</v>
      </c>
      <c r="J402" t="e">
        <v>#N/A</v>
      </c>
    </row>
    <row r="403" spans="8:10">
      <c r="H403" t="e">
        <v>#N/A</v>
      </c>
      <c r="J403" t="e">
        <v>#N/A</v>
      </c>
    </row>
    <row r="404" spans="8:10">
      <c r="H404" t="e">
        <v>#N/A</v>
      </c>
      <c r="J404" t="e">
        <v>#N/A</v>
      </c>
    </row>
    <row r="405" spans="8:10">
      <c r="H405" t="e">
        <v>#N/A</v>
      </c>
      <c r="J405" t="e">
        <v>#N/A</v>
      </c>
    </row>
    <row r="406" spans="8:10">
      <c r="H406" t="e">
        <v>#N/A</v>
      </c>
      <c r="J406" t="e">
        <v>#N/A</v>
      </c>
    </row>
    <row r="407" spans="8:10">
      <c r="H407" t="e">
        <v>#N/A</v>
      </c>
      <c r="J407" t="e">
        <v>#N/A</v>
      </c>
    </row>
    <row r="408" spans="8:10">
      <c r="H408" t="e">
        <v>#N/A</v>
      </c>
      <c r="J408" t="e">
        <v>#N/A</v>
      </c>
    </row>
    <row r="409" spans="8:10">
      <c r="H409" t="e">
        <v>#N/A</v>
      </c>
      <c r="J409" t="e">
        <v>#N/A</v>
      </c>
    </row>
    <row r="410" spans="8:10">
      <c r="H410" t="e">
        <v>#N/A</v>
      </c>
      <c r="J410" t="e">
        <v>#N/A</v>
      </c>
    </row>
    <row r="411" spans="8:10">
      <c r="H411" t="e">
        <v>#N/A</v>
      </c>
      <c r="J411" t="e">
        <v>#N/A</v>
      </c>
    </row>
    <row r="412" spans="8:10">
      <c r="H412" t="e">
        <v>#N/A</v>
      </c>
      <c r="J412" t="e">
        <v>#N/A</v>
      </c>
    </row>
    <row r="413" spans="8:10">
      <c r="H413" t="e">
        <v>#N/A</v>
      </c>
      <c r="J413" t="e">
        <v>#N/A</v>
      </c>
    </row>
    <row r="414" spans="8:10">
      <c r="H414" t="e">
        <v>#N/A</v>
      </c>
      <c r="J414" t="e">
        <v>#N/A</v>
      </c>
    </row>
    <row r="415" spans="8:10">
      <c r="H415" t="e">
        <v>#N/A</v>
      </c>
      <c r="J415" t="e">
        <v>#N/A</v>
      </c>
    </row>
    <row r="416" spans="8:10">
      <c r="H416" t="e">
        <v>#N/A</v>
      </c>
      <c r="J416" t="e">
        <v>#N/A</v>
      </c>
    </row>
    <row r="417" spans="8:10">
      <c r="H417" t="e">
        <v>#N/A</v>
      </c>
      <c r="J417" t="e">
        <v>#N/A</v>
      </c>
    </row>
    <row r="418" spans="8:10">
      <c r="H418" t="e">
        <v>#N/A</v>
      </c>
      <c r="J418" t="e">
        <v>#N/A</v>
      </c>
    </row>
    <row r="419" spans="8:10">
      <c r="H419" t="e">
        <v>#N/A</v>
      </c>
      <c r="J419" t="e">
        <v>#N/A</v>
      </c>
    </row>
    <row r="420" spans="8:10">
      <c r="H420" t="e">
        <v>#N/A</v>
      </c>
      <c r="J420" t="e">
        <v>#N/A</v>
      </c>
    </row>
    <row r="421" spans="8:10">
      <c r="H421" t="e">
        <v>#N/A</v>
      </c>
      <c r="J421" t="e">
        <v>#N/A</v>
      </c>
    </row>
    <row r="422" spans="8:10">
      <c r="H422" t="e">
        <v>#N/A</v>
      </c>
      <c r="J422" t="e">
        <v>#N/A</v>
      </c>
    </row>
    <row r="423" spans="8:10">
      <c r="H423" t="e">
        <v>#N/A</v>
      </c>
      <c r="J423" t="e">
        <v>#N/A</v>
      </c>
    </row>
    <row r="424" spans="8:10">
      <c r="H424" t="e">
        <v>#N/A</v>
      </c>
      <c r="J424" t="e">
        <v>#N/A</v>
      </c>
    </row>
    <row r="425" spans="8:10">
      <c r="H425" t="e">
        <v>#N/A</v>
      </c>
      <c r="J425" t="e">
        <v>#N/A</v>
      </c>
    </row>
    <row r="426" spans="8:10">
      <c r="H426" t="e">
        <v>#N/A</v>
      </c>
      <c r="J426" t="e">
        <v>#N/A</v>
      </c>
    </row>
    <row r="427" spans="8:10">
      <c r="H427" t="e">
        <v>#N/A</v>
      </c>
      <c r="J427" t="e">
        <v>#N/A</v>
      </c>
    </row>
    <row r="428" spans="8:10">
      <c r="H428" t="e">
        <v>#N/A</v>
      </c>
      <c r="J428" t="e">
        <v>#N/A</v>
      </c>
    </row>
    <row r="429" spans="8:10">
      <c r="H429" t="e">
        <v>#N/A</v>
      </c>
      <c r="J429" t="e">
        <v>#N/A</v>
      </c>
    </row>
    <row r="430" spans="8:10">
      <c r="H430" t="e">
        <v>#N/A</v>
      </c>
      <c r="J430" t="e">
        <v>#N/A</v>
      </c>
    </row>
    <row r="431" spans="8:10">
      <c r="H431" t="e">
        <v>#N/A</v>
      </c>
      <c r="J431" t="e">
        <v>#N/A</v>
      </c>
    </row>
    <row r="432" spans="8:10">
      <c r="H432" t="e">
        <v>#N/A</v>
      </c>
      <c r="J432" t="e">
        <v>#N/A</v>
      </c>
    </row>
    <row r="433" spans="8:10">
      <c r="H433" t="e">
        <v>#N/A</v>
      </c>
      <c r="J433" t="e">
        <v>#N/A</v>
      </c>
    </row>
    <row r="434" spans="8:10">
      <c r="H434" t="e">
        <v>#N/A</v>
      </c>
      <c r="J434" t="e">
        <v>#N/A</v>
      </c>
    </row>
    <row r="435" spans="8:10">
      <c r="H435" t="e">
        <v>#N/A</v>
      </c>
      <c r="J435" t="e">
        <v>#N/A</v>
      </c>
    </row>
    <row r="436" spans="8:10">
      <c r="H436" t="e">
        <v>#N/A</v>
      </c>
      <c r="J436" t="e">
        <v>#N/A</v>
      </c>
    </row>
    <row r="437" spans="8:10">
      <c r="H437" t="e">
        <v>#N/A</v>
      </c>
      <c r="J437" t="e">
        <v>#N/A</v>
      </c>
    </row>
    <row r="438" spans="8:10">
      <c r="H438" t="e">
        <v>#N/A</v>
      </c>
      <c r="J438" t="e">
        <v>#N/A</v>
      </c>
    </row>
    <row r="439" spans="8:10">
      <c r="H439" t="e">
        <v>#N/A</v>
      </c>
      <c r="J439" t="e">
        <v>#N/A</v>
      </c>
    </row>
    <row r="440" spans="8:10">
      <c r="H440" t="e">
        <v>#N/A</v>
      </c>
      <c r="J440" t="e">
        <v>#N/A</v>
      </c>
    </row>
    <row r="441" spans="8:10">
      <c r="H441" t="e">
        <v>#N/A</v>
      </c>
      <c r="J441" t="e">
        <v>#N/A</v>
      </c>
    </row>
    <row r="442" spans="8:10">
      <c r="H442" t="e">
        <v>#N/A</v>
      </c>
      <c r="J442" t="e">
        <v>#N/A</v>
      </c>
    </row>
    <row r="443" spans="8:10">
      <c r="H443" t="e">
        <v>#N/A</v>
      </c>
      <c r="J443" t="e">
        <v>#N/A</v>
      </c>
    </row>
    <row r="444" spans="8:10">
      <c r="H444" t="e">
        <v>#N/A</v>
      </c>
      <c r="J444" t="e">
        <v>#N/A</v>
      </c>
    </row>
    <row r="445" spans="8:10">
      <c r="H445" t="e">
        <v>#N/A</v>
      </c>
      <c r="J445" t="e">
        <v>#N/A</v>
      </c>
    </row>
    <row r="446" spans="8:10">
      <c r="H446" t="e">
        <v>#N/A</v>
      </c>
      <c r="J446" t="e">
        <v>#N/A</v>
      </c>
    </row>
    <row r="447" spans="8:10">
      <c r="H447" t="e">
        <v>#N/A</v>
      </c>
      <c r="J447" t="e">
        <v>#N/A</v>
      </c>
    </row>
    <row r="448" spans="8:10">
      <c r="H448" t="e">
        <v>#N/A</v>
      </c>
      <c r="J448" t="e">
        <v>#N/A</v>
      </c>
    </row>
    <row r="449" spans="8:10">
      <c r="H449" t="e">
        <v>#N/A</v>
      </c>
      <c r="J449" t="e">
        <v>#N/A</v>
      </c>
    </row>
    <row r="450" spans="8:10">
      <c r="H450" t="e">
        <v>#N/A</v>
      </c>
      <c r="J450" t="e">
        <v>#N/A</v>
      </c>
    </row>
    <row r="451" spans="8:10">
      <c r="H451" t="e">
        <v>#N/A</v>
      </c>
      <c r="J451" t="e">
        <v>#N/A</v>
      </c>
    </row>
    <row r="452" spans="8:10">
      <c r="H452" t="e">
        <v>#N/A</v>
      </c>
      <c r="J452" t="e">
        <v>#N/A</v>
      </c>
    </row>
    <row r="453" spans="8:10">
      <c r="H453" t="e">
        <v>#N/A</v>
      </c>
      <c r="J453" t="e">
        <v>#N/A</v>
      </c>
    </row>
    <row r="454" spans="8:10">
      <c r="H454" t="e">
        <v>#N/A</v>
      </c>
      <c r="J454" t="e">
        <v>#N/A</v>
      </c>
    </row>
    <row r="455" spans="8:10">
      <c r="H455" t="e">
        <v>#N/A</v>
      </c>
      <c r="J455" t="e">
        <v>#N/A</v>
      </c>
    </row>
    <row r="456" spans="8:10">
      <c r="H456" t="e">
        <v>#N/A</v>
      </c>
      <c r="J456" t="e">
        <v>#N/A</v>
      </c>
    </row>
    <row r="457" spans="8:10">
      <c r="H457" t="e">
        <v>#N/A</v>
      </c>
      <c r="J457" t="e">
        <v>#N/A</v>
      </c>
    </row>
    <row r="458" spans="8:10">
      <c r="H458" t="e">
        <v>#N/A</v>
      </c>
      <c r="J458" t="e">
        <v>#N/A</v>
      </c>
    </row>
    <row r="459" spans="8:10">
      <c r="H459" t="e">
        <v>#N/A</v>
      </c>
      <c r="J459" t="e">
        <v>#N/A</v>
      </c>
    </row>
    <row r="460" spans="8:10">
      <c r="H460" t="e">
        <v>#N/A</v>
      </c>
      <c r="J460" t="e">
        <v>#N/A</v>
      </c>
    </row>
    <row r="461" spans="8:10">
      <c r="H461" t="e">
        <v>#N/A</v>
      </c>
      <c r="J461" t="e">
        <v>#N/A</v>
      </c>
    </row>
    <row r="462" spans="8:10">
      <c r="H462" t="e">
        <v>#N/A</v>
      </c>
      <c r="J462" t="e">
        <v>#N/A</v>
      </c>
    </row>
    <row r="463" spans="8:10">
      <c r="H463" t="e">
        <v>#N/A</v>
      </c>
      <c r="J463" t="e">
        <v>#N/A</v>
      </c>
    </row>
    <row r="464" spans="8:10">
      <c r="H464" t="e">
        <v>#N/A</v>
      </c>
      <c r="J464" t="e">
        <v>#N/A</v>
      </c>
    </row>
    <row r="465" spans="8:10">
      <c r="H465" t="e">
        <v>#N/A</v>
      </c>
      <c r="J465" t="e">
        <v>#N/A</v>
      </c>
    </row>
    <row r="466" spans="8:10">
      <c r="H466" t="e">
        <v>#N/A</v>
      </c>
      <c r="J466" t="e">
        <v>#N/A</v>
      </c>
    </row>
    <row r="467" spans="8:10">
      <c r="H467" t="e">
        <v>#N/A</v>
      </c>
      <c r="J467" t="e">
        <v>#N/A</v>
      </c>
    </row>
    <row r="468" spans="8:10">
      <c r="H468" t="e">
        <v>#N/A</v>
      </c>
      <c r="J468" t="e">
        <v>#N/A</v>
      </c>
    </row>
    <row r="469" spans="8:10">
      <c r="H469" t="e">
        <v>#N/A</v>
      </c>
      <c r="J469" t="e">
        <v>#N/A</v>
      </c>
    </row>
    <row r="470" spans="8:10">
      <c r="H470" t="e">
        <v>#N/A</v>
      </c>
      <c r="J470" t="e">
        <v>#N/A</v>
      </c>
    </row>
    <row r="471" spans="8:10">
      <c r="H471" t="e">
        <v>#N/A</v>
      </c>
      <c r="J471" t="e">
        <v>#N/A</v>
      </c>
    </row>
    <row r="472" spans="8:10">
      <c r="H472" t="e">
        <v>#N/A</v>
      </c>
      <c r="J472" t="e">
        <v>#N/A</v>
      </c>
    </row>
    <row r="473" spans="8:10">
      <c r="H473" t="e">
        <v>#N/A</v>
      </c>
      <c r="J473" t="e">
        <v>#N/A</v>
      </c>
    </row>
    <row r="474" spans="8:10">
      <c r="H474" t="e">
        <v>#N/A</v>
      </c>
      <c r="J474" t="e">
        <v>#N/A</v>
      </c>
    </row>
    <row r="475" spans="8:10">
      <c r="H475" t="e">
        <v>#N/A</v>
      </c>
      <c r="J475" t="e">
        <v>#N/A</v>
      </c>
    </row>
    <row r="476" spans="8:10">
      <c r="H476" t="e">
        <v>#N/A</v>
      </c>
      <c r="J476" t="e">
        <v>#N/A</v>
      </c>
    </row>
    <row r="477" spans="8:10">
      <c r="H477" t="e">
        <v>#N/A</v>
      </c>
      <c r="J477" t="e">
        <v>#N/A</v>
      </c>
    </row>
    <row r="478" spans="8:10">
      <c r="H478" t="e">
        <v>#N/A</v>
      </c>
      <c r="J478" t="e">
        <v>#N/A</v>
      </c>
    </row>
    <row r="479" spans="8:10">
      <c r="H479" t="e">
        <v>#N/A</v>
      </c>
      <c r="J479" t="e">
        <v>#N/A</v>
      </c>
    </row>
    <row r="480" spans="8:10">
      <c r="H480" t="e">
        <v>#N/A</v>
      </c>
      <c r="J480" t="e">
        <v>#N/A</v>
      </c>
    </row>
    <row r="481" spans="8:10">
      <c r="H481" t="e">
        <v>#N/A</v>
      </c>
      <c r="J481" t="e">
        <v>#N/A</v>
      </c>
    </row>
    <row r="482" spans="8:10">
      <c r="H482" t="e">
        <v>#N/A</v>
      </c>
      <c r="J482" t="e">
        <v>#N/A</v>
      </c>
    </row>
    <row r="483" spans="8:10">
      <c r="H483" t="e">
        <v>#N/A</v>
      </c>
      <c r="J483" t="e">
        <v>#N/A</v>
      </c>
    </row>
    <row r="484" spans="8:10">
      <c r="H484" t="e">
        <v>#N/A</v>
      </c>
      <c r="J484" t="e">
        <v>#N/A</v>
      </c>
    </row>
    <row r="485" spans="8:10">
      <c r="H485" t="e">
        <v>#N/A</v>
      </c>
      <c r="J485" t="e">
        <v>#N/A</v>
      </c>
    </row>
    <row r="486" spans="8:10">
      <c r="H486" t="e">
        <v>#N/A</v>
      </c>
      <c r="J486" t="e">
        <v>#N/A</v>
      </c>
    </row>
    <row r="487" spans="8:10">
      <c r="H487" t="e">
        <v>#N/A</v>
      </c>
      <c r="J487" t="e">
        <v>#N/A</v>
      </c>
    </row>
    <row r="488" spans="8:10">
      <c r="H488" t="e">
        <v>#N/A</v>
      </c>
      <c r="J488" t="e">
        <v>#N/A</v>
      </c>
    </row>
    <row r="489" spans="8:10">
      <c r="H489" t="e">
        <v>#N/A</v>
      </c>
      <c r="J489" t="e">
        <v>#N/A</v>
      </c>
    </row>
    <row r="490" spans="8:10">
      <c r="H490" t="e">
        <v>#N/A</v>
      </c>
      <c r="J490" t="e">
        <v>#N/A</v>
      </c>
    </row>
    <row r="491" spans="8:10">
      <c r="H491" t="e">
        <v>#N/A</v>
      </c>
      <c r="J491" t="e">
        <v>#N/A</v>
      </c>
    </row>
    <row r="492" spans="8:10">
      <c r="H492" t="e">
        <v>#N/A</v>
      </c>
      <c r="J492" t="e">
        <v>#N/A</v>
      </c>
    </row>
    <row r="493" spans="8:10">
      <c r="H493" t="e">
        <v>#N/A</v>
      </c>
      <c r="J493" t="e">
        <v>#N/A</v>
      </c>
    </row>
    <row r="494" spans="8:10">
      <c r="H494" t="e">
        <v>#N/A</v>
      </c>
      <c r="J494" t="e">
        <v>#N/A</v>
      </c>
    </row>
    <row r="495" spans="8:10">
      <c r="H495" t="e">
        <v>#N/A</v>
      </c>
      <c r="J495" t="e">
        <v>#N/A</v>
      </c>
    </row>
    <row r="496" spans="8:10">
      <c r="H496" t="e">
        <v>#N/A</v>
      </c>
      <c r="J496" t="e">
        <v>#N/A</v>
      </c>
    </row>
    <row r="497" spans="8:10">
      <c r="H497" t="e">
        <v>#N/A</v>
      </c>
      <c r="J497" t="e">
        <v>#N/A</v>
      </c>
    </row>
    <row r="498" spans="8:10">
      <c r="H498" t="e">
        <v>#N/A</v>
      </c>
      <c r="J498" t="e">
        <v>#N/A</v>
      </c>
    </row>
    <row r="499" spans="8:10">
      <c r="H499" t="e">
        <v>#N/A</v>
      </c>
      <c r="J499" t="e">
        <v>#N/A</v>
      </c>
    </row>
    <row r="500" spans="8:10">
      <c r="H500" t="e">
        <v>#N/A</v>
      </c>
      <c r="J500" t="e">
        <v>#N/A</v>
      </c>
    </row>
    <row r="501" spans="8:10">
      <c r="H501" t="e">
        <v>#N/A</v>
      </c>
      <c r="J501" t="e">
        <v>#N/A</v>
      </c>
    </row>
    <row r="502" spans="8:10">
      <c r="H502" t="e">
        <v>#N/A</v>
      </c>
      <c r="J502" t="e">
        <v>#N/A</v>
      </c>
    </row>
    <row r="503" spans="8:10">
      <c r="H503" t="e">
        <v>#N/A</v>
      </c>
      <c r="J503" t="e">
        <v>#N/A</v>
      </c>
    </row>
    <row r="504" spans="8:10">
      <c r="H504" t="e">
        <v>#N/A</v>
      </c>
      <c r="J504" t="e">
        <v>#N/A</v>
      </c>
    </row>
    <row r="505" spans="8:10">
      <c r="H505" t="e">
        <v>#N/A</v>
      </c>
      <c r="J505" t="e">
        <v>#N/A</v>
      </c>
    </row>
    <row r="506" spans="8:10">
      <c r="H506" t="e">
        <v>#N/A</v>
      </c>
      <c r="J506" t="e">
        <v>#N/A</v>
      </c>
    </row>
    <row r="507" spans="8:10">
      <c r="H507" t="e">
        <v>#N/A</v>
      </c>
      <c r="J507" t="e">
        <v>#N/A</v>
      </c>
    </row>
    <row r="508" spans="8:10">
      <c r="H508" t="e">
        <v>#N/A</v>
      </c>
      <c r="J508" t="e">
        <v>#N/A</v>
      </c>
    </row>
    <row r="509" spans="8:10">
      <c r="H509" t="e">
        <v>#N/A</v>
      </c>
      <c r="J509" t="e">
        <v>#N/A</v>
      </c>
    </row>
    <row r="510" spans="8:10">
      <c r="H510" t="e">
        <v>#N/A</v>
      </c>
      <c r="J510" t="e">
        <v>#N/A</v>
      </c>
    </row>
    <row r="511" spans="8:10">
      <c r="H511" t="e">
        <v>#N/A</v>
      </c>
      <c r="J511" t="e">
        <v>#N/A</v>
      </c>
    </row>
    <row r="512" spans="8:10">
      <c r="H512" t="e">
        <v>#N/A</v>
      </c>
      <c r="J512" t="e">
        <v>#N/A</v>
      </c>
    </row>
    <row r="513" spans="8:10">
      <c r="H513" t="e">
        <v>#N/A</v>
      </c>
      <c r="J513" t="e">
        <v>#N/A</v>
      </c>
    </row>
    <row r="514" spans="8:10">
      <c r="H514" t="e">
        <v>#N/A</v>
      </c>
      <c r="J514" t="e">
        <v>#N/A</v>
      </c>
    </row>
    <row r="515" spans="8:10">
      <c r="H515" t="e">
        <v>#N/A</v>
      </c>
      <c r="J515" t="e">
        <v>#N/A</v>
      </c>
    </row>
    <row r="516" spans="8:10">
      <c r="H516" t="e">
        <v>#N/A</v>
      </c>
      <c r="J516" t="e">
        <v>#N/A</v>
      </c>
    </row>
    <row r="517" spans="8:10">
      <c r="H517" t="e">
        <v>#N/A</v>
      </c>
      <c r="J517" t="e">
        <v>#N/A</v>
      </c>
    </row>
    <row r="518" spans="8:10">
      <c r="H518" t="e">
        <v>#N/A</v>
      </c>
      <c r="J518" t="e">
        <v>#N/A</v>
      </c>
    </row>
    <row r="519" spans="8:10">
      <c r="H519" t="e">
        <v>#N/A</v>
      </c>
      <c r="J519" t="e">
        <v>#N/A</v>
      </c>
    </row>
    <row r="520" spans="8:10">
      <c r="H520" t="e">
        <v>#N/A</v>
      </c>
      <c r="J520" t="e">
        <v>#N/A</v>
      </c>
    </row>
    <row r="521" spans="8:10">
      <c r="H521" t="e">
        <v>#N/A</v>
      </c>
      <c r="J521" t="e">
        <v>#N/A</v>
      </c>
    </row>
    <row r="522" spans="8:10">
      <c r="H522" t="e">
        <v>#N/A</v>
      </c>
      <c r="J522" t="e">
        <v>#N/A</v>
      </c>
    </row>
    <row r="523" spans="8:10">
      <c r="H523" t="e">
        <v>#N/A</v>
      </c>
      <c r="J523" t="e">
        <v>#N/A</v>
      </c>
    </row>
    <row r="524" spans="8:10">
      <c r="H524" t="e">
        <v>#N/A</v>
      </c>
      <c r="J524" t="e">
        <v>#N/A</v>
      </c>
    </row>
    <row r="525" spans="8:10">
      <c r="H525" t="e">
        <v>#N/A</v>
      </c>
      <c r="J525" t="e">
        <v>#N/A</v>
      </c>
    </row>
    <row r="526" spans="8:10">
      <c r="H526" t="e">
        <v>#N/A</v>
      </c>
      <c r="J526" t="e">
        <v>#N/A</v>
      </c>
    </row>
    <row r="527" spans="8:10">
      <c r="H527" t="e">
        <v>#N/A</v>
      </c>
      <c r="J527" t="e">
        <v>#N/A</v>
      </c>
    </row>
    <row r="528" spans="8:10">
      <c r="H528" t="e">
        <v>#N/A</v>
      </c>
      <c r="J528" t="e">
        <v>#N/A</v>
      </c>
    </row>
    <row r="529" spans="8:10">
      <c r="H529" t="e">
        <v>#N/A</v>
      </c>
      <c r="J529" t="e">
        <v>#N/A</v>
      </c>
    </row>
    <row r="530" spans="8:10">
      <c r="H530" t="e">
        <v>#N/A</v>
      </c>
      <c r="J530" t="e">
        <v>#N/A</v>
      </c>
    </row>
    <row r="531" spans="8:10">
      <c r="H531" t="e">
        <v>#N/A</v>
      </c>
      <c r="J531" t="e">
        <v>#N/A</v>
      </c>
    </row>
    <row r="532" spans="8:10">
      <c r="H532" t="e">
        <v>#N/A</v>
      </c>
      <c r="J532" t="e">
        <v>#N/A</v>
      </c>
    </row>
    <row r="533" spans="8:10">
      <c r="H533" t="e">
        <v>#N/A</v>
      </c>
      <c r="J533" t="e">
        <v>#N/A</v>
      </c>
    </row>
    <row r="534" spans="8:10">
      <c r="H534" t="e">
        <v>#N/A</v>
      </c>
      <c r="J534" t="e">
        <v>#N/A</v>
      </c>
    </row>
    <row r="535" spans="8:10">
      <c r="H535" t="e">
        <v>#N/A</v>
      </c>
      <c r="J535" t="e">
        <v>#N/A</v>
      </c>
    </row>
    <row r="536" spans="8:10">
      <c r="H536" t="e">
        <v>#N/A</v>
      </c>
      <c r="J536" t="e">
        <v>#N/A</v>
      </c>
    </row>
    <row r="537" spans="8:10">
      <c r="H537" t="e">
        <v>#N/A</v>
      </c>
      <c r="J537" t="e">
        <v>#N/A</v>
      </c>
    </row>
    <row r="538" spans="8:10">
      <c r="H538" t="e">
        <v>#N/A</v>
      </c>
      <c r="J538" t="e">
        <v>#N/A</v>
      </c>
    </row>
    <row r="539" spans="8:10">
      <c r="H539" t="e">
        <v>#N/A</v>
      </c>
      <c r="J539" t="e">
        <v>#N/A</v>
      </c>
    </row>
    <row r="540" spans="8:10">
      <c r="H540" t="e">
        <v>#N/A</v>
      </c>
      <c r="J540" t="e">
        <v>#N/A</v>
      </c>
    </row>
    <row r="541" spans="8:10">
      <c r="H541" t="e">
        <v>#N/A</v>
      </c>
      <c r="J541" t="e">
        <v>#N/A</v>
      </c>
    </row>
    <row r="542" spans="8:10">
      <c r="H542" t="e">
        <v>#N/A</v>
      </c>
      <c r="J542" t="e">
        <v>#N/A</v>
      </c>
    </row>
    <row r="543" spans="8:10">
      <c r="H543" t="e">
        <v>#N/A</v>
      </c>
      <c r="J543" t="e">
        <v>#N/A</v>
      </c>
    </row>
    <row r="544" spans="8:10">
      <c r="H544" t="e">
        <v>#N/A</v>
      </c>
      <c r="J544" t="e">
        <v>#N/A</v>
      </c>
    </row>
    <row r="545" spans="8:10">
      <c r="H545" t="e">
        <v>#N/A</v>
      </c>
      <c r="J545" t="e">
        <v>#N/A</v>
      </c>
    </row>
    <row r="546" spans="8:10">
      <c r="H546" t="e">
        <v>#N/A</v>
      </c>
      <c r="J546" t="e">
        <v>#N/A</v>
      </c>
    </row>
    <row r="547" spans="8:10">
      <c r="H547" t="e">
        <v>#N/A</v>
      </c>
      <c r="J547" t="e">
        <v>#N/A</v>
      </c>
    </row>
    <row r="548" spans="8:10">
      <c r="H548" t="e">
        <v>#N/A</v>
      </c>
      <c r="J548" t="e">
        <v>#N/A</v>
      </c>
    </row>
    <row r="549" spans="8:10">
      <c r="H549" t="e">
        <v>#N/A</v>
      </c>
      <c r="J549" t="e">
        <v>#N/A</v>
      </c>
    </row>
    <row r="550" spans="8:10">
      <c r="H550" t="e">
        <v>#N/A</v>
      </c>
      <c r="J550" t="e">
        <v>#N/A</v>
      </c>
    </row>
    <row r="551" spans="8:10">
      <c r="H551" t="e">
        <v>#N/A</v>
      </c>
      <c r="J551" t="e">
        <v>#N/A</v>
      </c>
    </row>
    <row r="552" spans="8:10">
      <c r="H552" t="e">
        <v>#N/A</v>
      </c>
      <c r="J552" t="e">
        <v>#N/A</v>
      </c>
    </row>
    <row r="553" spans="8:10">
      <c r="H553" t="e">
        <v>#N/A</v>
      </c>
      <c r="J553" t="e">
        <v>#N/A</v>
      </c>
    </row>
    <row r="554" spans="8:10">
      <c r="H554" t="e">
        <v>#N/A</v>
      </c>
      <c r="J554" t="e">
        <v>#N/A</v>
      </c>
    </row>
    <row r="555" spans="8:10">
      <c r="H555" t="e">
        <v>#N/A</v>
      </c>
      <c r="J555" t="e">
        <v>#N/A</v>
      </c>
    </row>
    <row r="556" spans="8:10">
      <c r="H556" t="e">
        <v>#N/A</v>
      </c>
      <c r="J556" t="e">
        <v>#N/A</v>
      </c>
    </row>
    <row r="557" spans="8:10">
      <c r="H557" t="e">
        <v>#N/A</v>
      </c>
      <c r="J557" t="e">
        <v>#N/A</v>
      </c>
    </row>
    <row r="558" spans="8:10">
      <c r="H558" t="e">
        <v>#N/A</v>
      </c>
      <c r="J558" t="e">
        <v>#N/A</v>
      </c>
    </row>
    <row r="559" spans="8:10">
      <c r="H559" t="e">
        <v>#N/A</v>
      </c>
      <c r="J559" t="e">
        <v>#N/A</v>
      </c>
    </row>
    <row r="560" spans="8:10">
      <c r="H560" t="e">
        <v>#N/A</v>
      </c>
      <c r="J560" t="e">
        <v>#N/A</v>
      </c>
    </row>
    <row r="561" spans="8:10">
      <c r="H561" t="e">
        <v>#N/A</v>
      </c>
      <c r="J561" t="e">
        <v>#N/A</v>
      </c>
    </row>
    <row r="562" spans="8:10">
      <c r="H562" t="e">
        <v>#N/A</v>
      </c>
      <c r="J562" t="e">
        <v>#N/A</v>
      </c>
    </row>
    <row r="563" spans="8:10">
      <c r="H563" t="e">
        <v>#N/A</v>
      </c>
      <c r="J563" t="e">
        <v>#N/A</v>
      </c>
    </row>
    <row r="564" spans="8:10">
      <c r="H564" t="e">
        <v>#N/A</v>
      </c>
      <c r="J564" t="e">
        <v>#N/A</v>
      </c>
    </row>
    <row r="565" spans="8:10">
      <c r="H565" t="e">
        <v>#N/A</v>
      </c>
      <c r="J565" t="e">
        <v>#N/A</v>
      </c>
    </row>
    <row r="566" spans="8:10">
      <c r="H566" t="e">
        <v>#N/A</v>
      </c>
      <c r="J566" t="e">
        <v>#N/A</v>
      </c>
    </row>
    <row r="567" spans="8:10">
      <c r="H567" t="e">
        <v>#N/A</v>
      </c>
      <c r="J567" t="e">
        <v>#N/A</v>
      </c>
    </row>
    <row r="568" spans="8:10">
      <c r="H568" t="e">
        <v>#N/A</v>
      </c>
      <c r="J568" t="e">
        <v>#N/A</v>
      </c>
    </row>
    <row r="569" spans="8:10">
      <c r="H569" t="e">
        <v>#N/A</v>
      </c>
      <c r="J569" t="e">
        <v>#N/A</v>
      </c>
    </row>
    <row r="570" spans="8:10">
      <c r="H570" t="e">
        <v>#N/A</v>
      </c>
      <c r="J570" t="e">
        <v>#N/A</v>
      </c>
    </row>
    <row r="571" spans="8:10">
      <c r="H571" t="e">
        <v>#N/A</v>
      </c>
      <c r="J571" t="e">
        <v>#N/A</v>
      </c>
    </row>
    <row r="572" spans="8:10">
      <c r="H572" t="e">
        <v>#N/A</v>
      </c>
      <c r="J572" t="e">
        <v>#N/A</v>
      </c>
    </row>
    <row r="573" spans="8:10">
      <c r="H573" t="e">
        <v>#N/A</v>
      </c>
      <c r="J573" t="e">
        <v>#N/A</v>
      </c>
    </row>
    <row r="574" spans="8:10">
      <c r="H574" t="e">
        <v>#N/A</v>
      </c>
      <c r="J574" t="e">
        <v>#N/A</v>
      </c>
    </row>
    <row r="575" spans="8:10">
      <c r="H575" t="e">
        <v>#N/A</v>
      </c>
      <c r="J575" t="e">
        <v>#N/A</v>
      </c>
    </row>
    <row r="576" spans="8:10">
      <c r="H576" t="e">
        <v>#N/A</v>
      </c>
      <c r="J576" t="e">
        <v>#N/A</v>
      </c>
    </row>
    <row r="577" spans="8:10">
      <c r="H577" t="e">
        <v>#N/A</v>
      </c>
      <c r="J577" t="e">
        <v>#N/A</v>
      </c>
    </row>
    <row r="578" spans="8:10">
      <c r="H578" t="e">
        <v>#N/A</v>
      </c>
      <c r="J578" t="e">
        <v>#N/A</v>
      </c>
    </row>
    <row r="579" spans="8:10">
      <c r="H579" t="e">
        <v>#N/A</v>
      </c>
      <c r="J579" t="e">
        <v>#N/A</v>
      </c>
    </row>
    <row r="580" spans="8:10">
      <c r="H580" t="e">
        <v>#N/A</v>
      </c>
      <c r="J580" t="e">
        <v>#N/A</v>
      </c>
    </row>
    <row r="581" spans="8:10">
      <c r="H581" t="e">
        <v>#N/A</v>
      </c>
      <c r="J581" t="e">
        <v>#N/A</v>
      </c>
    </row>
    <row r="582" spans="8:10">
      <c r="H582" t="e">
        <v>#N/A</v>
      </c>
      <c r="J582" t="e">
        <v>#N/A</v>
      </c>
    </row>
    <row r="583" spans="8:10">
      <c r="H583" t="e">
        <v>#N/A</v>
      </c>
      <c r="J583" t="e">
        <v>#N/A</v>
      </c>
    </row>
    <row r="584" spans="8:10">
      <c r="H584" t="e">
        <v>#N/A</v>
      </c>
      <c r="J584" t="e">
        <v>#N/A</v>
      </c>
    </row>
    <row r="585" spans="8:10">
      <c r="H585" t="e">
        <v>#N/A</v>
      </c>
      <c r="J585" t="e">
        <v>#N/A</v>
      </c>
    </row>
    <row r="586" spans="8:10">
      <c r="H586" t="e">
        <v>#N/A</v>
      </c>
      <c r="J586" t="e">
        <v>#N/A</v>
      </c>
    </row>
    <row r="587" spans="8:10">
      <c r="H587" t="e">
        <v>#N/A</v>
      </c>
      <c r="J587" t="e">
        <v>#N/A</v>
      </c>
    </row>
    <row r="588" spans="8:10">
      <c r="H588" t="e">
        <v>#N/A</v>
      </c>
      <c r="J588" t="e">
        <v>#N/A</v>
      </c>
    </row>
    <row r="589" spans="8:10">
      <c r="H589" t="e">
        <v>#N/A</v>
      </c>
      <c r="J589" t="e">
        <v>#N/A</v>
      </c>
    </row>
    <row r="590" spans="8:10">
      <c r="H590" t="e">
        <v>#N/A</v>
      </c>
      <c r="J590" t="e">
        <v>#N/A</v>
      </c>
    </row>
    <row r="591" spans="8:10">
      <c r="H591" t="e">
        <v>#N/A</v>
      </c>
      <c r="J591" t="e">
        <v>#N/A</v>
      </c>
    </row>
    <row r="592" spans="8:10">
      <c r="H592" t="e">
        <v>#N/A</v>
      </c>
      <c r="J592" t="e">
        <v>#N/A</v>
      </c>
    </row>
    <row r="593" spans="8:10">
      <c r="H593" t="e">
        <v>#N/A</v>
      </c>
      <c r="J593" t="e">
        <v>#N/A</v>
      </c>
    </row>
    <row r="594" spans="8:10">
      <c r="H594" t="e">
        <v>#N/A</v>
      </c>
      <c r="J594" t="e">
        <v>#N/A</v>
      </c>
    </row>
    <row r="595" spans="8:10">
      <c r="H595" t="e">
        <v>#N/A</v>
      </c>
      <c r="J595" t="e">
        <v>#N/A</v>
      </c>
    </row>
    <row r="596" spans="8:10">
      <c r="H596" t="e">
        <v>#N/A</v>
      </c>
      <c r="J596" t="e">
        <v>#N/A</v>
      </c>
    </row>
    <row r="597" spans="8:10">
      <c r="H597" t="e">
        <v>#N/A</v>
      </c>
      <c r="J597" t="e">
        <v>#N/A</v>
      </c>
    </row>
    <row r="598" spans="8:10">
      <c r="H598" t="e">
        <v>#N/A</v>
      </c>
      <c r="J598" t="e">
        <v>#N/A</v>
      </c>
    </row>
    <row r="599" spans="8:10">
      <c r="H599" t="e">
        <v>#N/A</v>
      </c>
      <c r="J599" t="e">
        <v>#N/A</v>
      </c>
    </row>
    <row r="600" spans="8:10">
      <c r="H600" t="e">
        <v>#N/A</v>
      </c>
      <c r="J600" t="e">
        <v>#N/A</v>
      </c>
    </row>
    <row r="601" spans="8:10">
      <c r="H601" t="e">
        <v>#N/A</v>
      </c>
      <c r="J601" t="e">
        <v>#N/A</v>
      </c>
    </row>
    <row r="602" spans="8:10">
      <c r="H602" t="e">
        <v>#N/A</v>
      </c>
      <c r="J602" t="e">
        <v>#N/A</v>
      </c>
    </row>
    <row r="603" spans="8:10">
      <c r="H603" t="e">
        <v>#N/A</v>
      </c>
      <c r="J603" t="e">
        <v>#N/A</v>
      </c>
    </row>
    <row r="604" spans="8:10">
      <c r="H604" t="e">
        <v>#N/A</v>
      </c>
      <c r="J604" t="e">
        <v>#N/A</v>
      </c>
    </row>
    <row r="605" spans="8:10">
      <c r="H605" t="e">
        <v>#N/A</v>
      </c>
      <c r="J605" t="e">
        <v>#N/A</v>
      </c>
    </row>
    <row r="606" spans="8:10">
      <c r="H606" t="e">
        <v>#N/A</v>
      </c>
      <c r="J606" t="e">
        <v>#N/A</v>
      </c>
    </row>
    <row r="607" spans="8:10">
      <c r="H607" t="e">
        <v>#N/A</v>
      </c>
      <c r="J607" t="e">
        <v>#N/A</v>
      </c>
    </row>
    <row r="608" spans="8:10">
      <c r="H608" t="e">
        <v>#N/A</v>
      </c>
      <c r="J608" t="e">
        <v>#N/A</v>
      </c>
    </row>
    <row r="609" spans="8:10">
      <c r="H609" t="e">
        <v>#N/A</v>
      </c>
      <c r="J609" t="e">
        <v>#N/A</v>
      </c>
    </row>
    <row r="610" spans="8:10">
      <c r="H610" t="e">
        <v>#N/A</v>
      </c>
      <c r="J610" t="e">
        <v>#N/A</v>
      </c>
    </row>
    <row r="611" spans="8:10">
      <c r="H611" t="e">
        <v>#N/A</v>
      </c>
      <c r="J611" t="e">
        <v>#N/A</v>
      </c>
    </row>
    <row r="612" spans="8:10">
      <c r="H612" t="e">
        <v>#N/A</v>
      </c>
      <c r="J612" t="e">
        <v>#N/A</v>
      </c>
    </row>
    <row r="613" spans="8:10">
      <c r="H613" t="e">
        <v>#N/A</v>
      </c>
      <c r="J613" t="e">
        <v>#N/A</v>
      </c>
    </row>
    <row r="614" spans="8:10">
      <c r="H614" t="e">
        <v>#N/A</v>
      </c>
      <c r="J614" t="e">
        <v>#N/A</v>
      </c>
    </row>
    <row r="615" spans="8:10">
      <c r="H615" t="e">
        <v>#N/A</v>
      </c>
      <c r="J615" t="e">
        <v>#N/A</v>
      </c>
    </row>
    <row r="616" spans="8:10">
      <c r="H616" t="e">
        <v>#N/A</v>
      </c>
      <c r="J616" t="e">
        <v>#N/A</v>
      </c>
    </row>
    <row r="617" spans="8:10">
      <c r="H617" t="e">
        <v>#N/A</v>
      </c>
      <c r="J617" t="e">
        <v>#N/A</v>
      </c>
    </row>
    <row r="618" spans="8:10">
      <c r="H618" t="e">
        <v>#N/A</v>
      </c>
      <c r="J618" t="e">
        <v>#N/A</v>
      </c>
    </row>
    <row r="619" spans="8:10">
      <c r="H619" t="e">
        <v>#N/A</v>
      </c>
      <c r="J619" t="e">
        <v>#N/A</v>
      </c>
    </row>
    <row r="620" spans="8:10">
      <c r="H620" t="e">
        <v>#N/A</v>
      </c>
      <c r="J620" t="e">
        <v>#N/A</v>
      </c>
    </row>
    <row r="621" spans="8:10">
      <c r="H621" t="e">
        <v>#N/A</v>
      </c>
      <c r="J621" t="e">
        <v>#N/A</v>
      </c>
    </row>
    <row r="622" spans="8:10">
      <c r="H622" t="e">
        <v>#N/A</v>
      </c>
      <c r="J622" t="e">
        <v>#N/A</v>
      </c>
    </row>
    <row r="623" spans="8:10">
      <c r="H623" t="e">
        <v>#N/A</v>
      </c>
      <c r="J623" t="e">
        <v>#N/A</v>
      </c>
    </row>
    <row r="624" spans="8:10">
      <c r="H624" t="e">
        <v>#N/A</v>
      </c>
      <c r="J624" t="e">
        <v>#N/A</v>
      </c>
    </row>
    <row r="625" spans="8:10">
      <c r="H625" t="e">
        <v>#N/A</v>
      </c>
      <c r="J625" t="e">
        <v>#N/A</v>
      </c>
    </row>
    <row r="626" spans="8:10">
      <c r="H626" t="e">
        <v>#N/A</v>
      </c>
      <c r="J626" t="e">
        <v>#N/A</v>
      </c>
    </row>
    <row r="627" spans="8:10">
      <c r="H627" t="e">
        <v>#N/A</v>
      </c>
      <c r="J627" t="e">
        <v>#N/A</v>
      </c>
    </row>
    <row r="628" spans="8:10">
      <c r="H628" t="e">
        <v>#N/A</v>
      </c>
      <c r="J628" t="e">
        <v>#N/A</v>
      </c>
    </row>
    <row r="629" spans="8:10">
      <c r="H629" t="e">
        <v>#N/A</v>
      </c>
      <c r="J629" t="e">
        <v>#N/A</v>
      </c>
    </row>
    <row r="630" spans="8:10">
      <c r="H630" t="e">
        <v>#N/A</v>
      </c>
      <c r="J630" t="e">
        <v>#N/A</v>
      </c>
    </row>
    <row r="631" spans="8:10">
      <c r="H631" t="e">
        <v>#N/A</v>
      </c>
      <c r="J631" t="e">
        <v>#N/A</v>
      </c>
    </row>
    <row r="632" spans="8:10">
      <c r="H632" t="e">
        <v>#N/A</v>
      </c>
      <c r="J632" t="e">
        <v>#N/A</v>
      </c>
    </row>
    <row r="633" spans="8:10">
      <c r="H633" t="e">
        <v>#N/A</v>
      </c>
      <c r="J633" t="e">
        <v>#N/A</v>
      </c>
    </row>
    <row r="634" spans="8:10">
      <c r="H634" t="e">
        <v>#N/A</v>
      </c>
      <c r="J634" t="e">
        <v>#N/A</v>
      </c>
    </row>
    <row r="635" spans="8:10">
      <c r="H635" t="e">
        <v>#N/A</v>
      </c>
      <c r="J635" t="e">
        <v>#N/A</v>
      </c>
    </row>
    <row r="636" spans="8:10">
      <c r="H636" t="e">
        <v>#N/A</v>
      </c>
      <c r="J636" t="e">
        <v>#N/A</v>
      </c>
    </row>
    <row r="637" spans="8:10">
      <c r="H637" t="e">
        <v>#N/A</v>
      </c>
      <c r="J637" t="e">
        <v>#N/A</v>
      </c>
    </row>
    <row r="638" spans="8:10">
      <c r="H638" t="e">
        <v>#N/A</v>
      </c>
      <c r="J638" t="e">
        <v>#N/A</v>
      </c>
    </row>
    <row r="639" spans="8:10">
      <c r="H639" t="e">
        <v>#N/A</v>
      </c>
      <c r="J639" t="e">
        <v>#N/A</v>
      </c>
    </row>
    <row r="640" spans="8:10">
      <c r="H640" t="e">
        <v>#N/A</v>
      </c>
      <c r="J640" t="e">
        <v>#N/A</v>
      </c>
    </row>
    <row r="641" spans="8:10">
      <c r="H641" t="e">
        <v>#N/A</v>
      </c>
      <c r="J641" t="e">
        <v>#N/A</v>
      </c>
    </row>
    <row r="642" spans="8:10">
      <c r="H642" t="e">
        <v>#N/A</v>
      </c>
      <c r="J642" t="e">
        <v>#N/A</v>
      </c>
    </row>
    <row r="643" spans="8:10">
      <c r="H643" t="e">
        <v>#N/A</v>
      </c>
      <c r="J643" t="e">
        <v>#N/A</v>
      </c>
    </row>
    <row r="644" spans="8:10">
      <c r="H644" t="e">
        <v>#N/A</v>
      </c>
      <c r="J644" t="e">
        <v>#N/A</v>
      </c>
    </row>
    <row r="645" spans="8:10">
      <c r="H645" t="e">
        <v>#N/A</v>
      </c>
      <c r="J645" t="e">
        <v>#N/A</v>
      </c>
    </row>
    <row r="646" spans="8:10">
      <c r="H646" t="e">
        <v>#N/A</v>
      </c>
      <c r="J646" t="e">
        <v>#N/A</v>
      </c>
    </row>
    <row r="647" spans="8:10">
      <c r="H647" t="e">
        <v>#N/A</v>
      </c>
      <c r="J647" t="e">
        <v>#N/A</v>
      </c>
    </row>
    <row r="648" spans="8:10">
      <c r="H648" t="e">
        <v>#N/A</v>
      </c>
      <c r="J648" t="e">
        <v>#N/A</v>
      </c>
    </row>
    <row r="649" spans="8:10">
      <c r="H649" t="e">
        <v>#N/A</v>
      </c>
      <c r="J649" t="e">
        <v>#N/A</v>
      </c>
    </row>
    <row r="650" spans="8:10">
      <c r="H650" t="e">
        <v>#N/A</v>
      </c>
      <c r="J650" t="e">
        <v>#N/A</v>
      </c>
    </row>
    <row r="651" spans="8:10">
      <c r="H651" t="e">
        <v>#N/A</v>
      </c>
      <c r="J651" t="e">
        <v>#N/A</v>
      </c>
    </row>
    <row r="652" spans="8:10">
      <c r="H652" t="e">
        <v>#N/A</v>
      </c>
      <c r="J652" t="e">
        <v>#N/A</v>
      </c>
    </row>
    <row r="653" spans="8:10">
      <c r="H653" t="e">
        <v>#N/A</v>
      </c>
      <c r="J653" t="e">
        <v>#N/A</v>
      </c>
    </row>
    <row r="654" spans="8:10">
      <c r="H654" t="e">
        <v>#N/A</v>
      </c>
      <c r="J654" t="e">
        <v>#N/A</v>
      </c>
    </row>
    <row r="655" spans="8:10">
      <c r="H655" t="e">
        <v>#N/A</v>
      </c>
      <c r="J655" t="e">
        <v>#N/A</v>
      </c>
    </row>
    <row r="656" spans="8:10">
      <c r="H656" t="e">
        <v>#N/A</v>
      </c>
      <c r="J656" t="e">
        <v>#N/A</v>
      </c>
    </row>
    <row r="657" spans="8:10">
      <c r="H657" t="e">
        <v>#N/A</v>
      </c>
      <c r="J657" t="e">
        <v>#N/A</v>
      </c>
    </row>
    <row r="658" spans="8:10">
      <c r="H658" t="e">
        <v>#N/A</v>
      </c>
      <c r="J658" t="e">
        <v>#N/A</v>
      </c>
    </row>
    <row r="659" spans="8:10">
      <c r="H659" t="e">
        <v>#N/A</v>
      </c>
      <c r="J659" t="e">
        <v>#N/A</v>
      </c>
    </row>
    <row r="660" spans="8:10">
      <c r="H660" t="e">
        <v>#N/A</v>
      </c>
      <c r="J660" t="e">
        <v>#N/A</v>
      </c>
    </row>
    <row r="661" spans="8:10">
      <c r="H661" t="e">
        <v>#N/A</v>
      </c>
      <c r="J661" t="e">
        <v>#N/A</v>
      </c>
    </row>
    <row r="662" spans="8:10">
      <c r="H662" t="e">
        <v>#N/A</v>
      </c>
      <c r="J662" t="e">
        <v>#N/A</v>
      </c>
    </row>
    <row r="663" spans="8:10">
      <c r="H663" t="e">
        <v>#N/A</v>
      </c>
      <c r="J663" t="e">
        <v>#N/A</v>
      </c>
    </row>
    <row r="664" spans="8:10">
      <c r="H664" t="e">
        <v>#N/A</v>
      </c>
      <c r="J664" t="e">
        <v>#N/A</v>
      </c>
    </row>
    <row r="665" spans="8:10">
      <c r="H665" t="e">
        <v>#N/A</v>
      </c>
      <c r="J665" t="e">
        <v>#N/A</v>
      </c>
    </row>
    <row r="666" spans="8:10">
      <c r="H666" t="e">
        <v>#N/A</v>
      </c>
      <c r="J666" t="e">
        <v>#N/A</v>
      </c>
    </row>
    <row r="667" spans="8:10">
      <c r="H667" t="e">
        <v>#N/A</v>
      </c>
      <c r="J667" t="e">
        <v>#N/A</v>
      </c>
    </row>
    <row r="668" spans="8:10">
      <c r="H668" t="e">
        <v>#N/A</v>
      </c>
      <c r="J668" t="e">
        <v>#N/A</v>
      </c>
    </row>
    <row r="669" spans="8:10">
      <c r="H669" t="e">
        <v>#N/A</v>
      </c>
      <c r="J669" t="e">
        <v>#N/A</v>
      </c>
    </row>
    <row r="670" spans="8:10">
      <c r="H670" t="e">
        <v>#N/A</v>
      </c>
      <c r="J670" t="e">
        <v>#N/A</v>
      </c>
    </row>
    <row r="671" spans="8:10">
      <c r="H671" t="e">
        <v>#N/A</v>
      </c>
      <c r="J671" t="e">
        <v>#N/A</v>
      </c>
    </row>
    <row r="672" spans="8:10">
      <c r="H672" t="e">
        <v>#N/A</v>
      </c>
      <c r="J672" t="e">
        <v>#N/A</v>
      </c>
    </row>
    <row r="673" spans="8:10">
      <c r="H673" t="e">
        <v>#N/A</v>
      </c>
      <c r="J673" t="e">
        <v>#N/A</v>
      </c>
    </row>
    <row r="674" spans="8:10">
      <c r="H674" t="e">
        <v>#N/A</v>
      </c>
      <c r="J674" t="e">
        <v>#N/A</v>
      </c>
    </row>
    <row r="675" spans="8:10">
      <c r="H675" t="e">
        <v>#N/A</v>
      </c>
      <c r="J675" t="e">
        <v>#N/A</v>
      </c>
    </row>
    <row r="676" spans="8:10">
      <c r="H676" t="e">
        <v>#N/A</v>
      </c>
      <c r="J676" t="e">
        <v>#N/A</v>
      </c>
    </row>
    <row r="677" spans="8:10">
      <c r="H677" t="e">
        <v>#N/A</v>
      </c>
      <c r="J677" t="e">
        <v>#N/A</v>
      </c>
    </row>
    <row r="678" spans="8:10">
      <c r="H678" t="e">
        <v>#N/A</v>
      </c>
      <c r="J678" t="e">
        <v>#N/A</v>
      </c>
    </row>
    <row r="679" spans="8:10">
      <c r="H679" t="e">
        <v>#N/A</v>
      </c>
      <c r="J679" t="e">
        <v>#N/A</v>
      </c>
    </row>
    <row r="680" spans="8:10">
      <c r="H680" t="e">
        <v>#N/A</v>
      </c>
      <c r="J680" t="e">
        <v>#N/A</v>
      </c>
    </row>
    <row r="681" spans="8:10">
      <c r="H681" t="e">
        <v>#N/A</v>
      </c>
      <c r="J681" t="e">
        <v>#N/A</v>
      </c>
    </row>
    <row r="682" spans="8:10">
      <c r="H682" t="e">
        <v>#N/A</v>
      </c>
      <c r="J682" t="e">
        <v>#N/A</v>
      </c>
    </row>
    <row r="683" spans="8:10">
      <c r="H683" t="e">
        <v>#N/A</v>
      </c>
      <c r="J683" t="e">
        <v>#N/A</v>
      </c>
    </row>
    <row r="684" spans="8:10">
      <c r="H684" t="e">
        <v>#N/A</v>
      </c>
      <c r="J684" t="e">
        <v>#N/A</v>
      </c>
    </row>
    <row r="685" spans="8:10">
      <c r="H685" t="e">
        <v>#N/A</v>
      </c>
      <c r="J685" t="e">
        <v>#N/A</v>
      </c>
    </row>
    <row r="686" spans="8:10">
      <c r="H686" t="e">
        <v>#N/A</v>
      </c>
      <c r="J686" t="e">
        <v>#N/A</v>
      </c>
    </row>
    <row r="687" spans="8:10">
      <c r="H687" t="e">
        <v>#N/A</v>
      </c>
      <c r="J687" t="e">
        <v>#N/A</v>
      </c>
    </row>
    <row r="688" spans="8:10">
      <c r="H688" t="e">
        <v>#N/A</v>
      </c>
      <c r="J688" t="e">
        <v>#N/A</v>
      </c>
    </row>
    <row r="689" spans="8:10">
      <c r="H689" t="e">
        <v>#N/A</v>
      </c>
      <c r="J689" t="e">
        <v>#N/A</v>
      </c>
    </row>
    <row r="690" spans="8:10">
      <c r="H690" t="e">
        <v>#N/A</v>
      </c>
      <c r="J690" t="e">
        <v>#N/A</v>
      </c>
    </row>
    <row r="691" spans="8:10">
      <c r="H691" t="e">
        <v>#N/A</v>
      </c>
      <c r="J691" t="e">
        <v>#N/A</v>
      </c>
    </row>
    <row r="692" spans="8:10">
      <c r="H692" t="e">
        <v>#N/A</v>
      </c>
      <c r="J692" t="e">
        <v>#N/A</v>
      </c>
    </row>
    <row r="693" spans="8:10">
      <c r="H693" t="e">
        <v>#N/A</v>
      </c>
      <c r="J693" t="e">
        <v>#N/A</v>
      </c>
    </row>
    <row r="694" spans="8:10">
      <c r="H694" t="e">
        <v>#N/A</v>
      </c>
      <c r="J694" t="e">
        <v>#N/A</v>
      </c>
    </row>
    <row r="695" spans="8:10">
      <c r="H695" t="e">
        <v>#N/A</v>
      </c>
      <c r="J695" t="e">
        <v>#N/A</v>
      </c>
    </row>
    <row r="696" spans="8:10">
      <c r="H696" t="e">
        <v>#N/A</v>
      </c>
      <c r="J696" t="e">
        <v>#N/A</v>
      </c>
    </row>
    <row r="697" spans="8:10">
      <c r="H697" t="e">
        <v>#N/A</v>
      </c>
      <c r="J697" t="e">
        <v>#N/A</v>
      </c>
    </row>
    <row r="698" spans="8:10">
      <c r="H698" t="e">
        <v>#N/A</v>
      </c>
      <c r="J698" t="e">
        <v>#N/A</v>
      </c>
    </row>
    <row r="699" spans="8:10">
      <c r="H699" t="e">
        <v>#N/A</v>
      </c>
      <c r="J699" t="e">
        <v>#N/A</v>
      </c>
    </row>
    <row r="700" spans="8:10">
      <c r="H700" t="e">
        <v>#N/A</v>
      </c>
      <c r="J700" t="e">
        <v>#N/A</v>
      </c>
    </row>
    <row r="701" spans="8:10">
      <c r="H701" t="e">
        <v>#N/A</v>
      </c>
      <c r="J701" t="e">
        <v>#N/A</v>
      </c>
    </row>
    <row r="702" spans="8:10">
      <c r="H702" t="e">
        <v>#N/A</v>
      </c>
      <c r="J702" t="e">
        <v>#N/A</v>
      </c>
    </row>
    <row r="703" spans="8:10">
      <c r="H703" t="e">
        <v>#N/A</v>
      </c>
      <c r="J703" t="e">
        <v>#N/A</v>
      </c>
    </row>
    <row r="704" spans="8:10">
      <c r="H704" t="e">
        <v>#N/A</v>
      </c>
      <c r="J704" t="e">
        <v>#N/A</v>
      </c>
    </row>
    <row r="705" spans="8:10">
      <c r="H705" t="e">
        <v>#N/A</v>
      </c>
      <c r="J705" t="e">
        <v>#N/A</v>
      </c>
    </row>
    <row r="706" spans="8:10">
      <c r="H706" t="e">
        <v>#N/A</v>
      </c>
      <c r="J706" t="e">
        <v>#N/A</v>
      </c>
    </row>
    <row r="707" spans="8:10">
      <c r="H707" t="e">
        <v>#N/A</v>
      </c>
      <c r="J707" t="e">
        <v>#N/A</v>
      </c>
    </row>
    <row r="708" spans="8:10">
      <c r="H708" t="e">
        <v>#N/A</v>
      </c>
      <c r="J708" t="e">
        <v>#N/A</v>
      </c>
    </row>
    <row r="709" spans="8:10">
      <c r="H709" t="e">
        <v>#N/A</v>
      </c>
      <c r="J709" t="e">
        <v>#N/A</v>
      </c>
    </row>
    <row r="710" spans="8:10">
      <c r="H710" t="e">
        <v>#N/A</v>
      </c>
      <c r="J710" t="e">
        <v>#N/A</v>
      </c>
    </row>
    <row r="711" spans="8:10">
      <c r="H711" t="e">
        <v>#N/A</v>
      </c>
      <c r="J711" t="e">
        <v>#N/A</v>
      </c>
    </row>
    <row r="712" spans="8:10">
      <c r="H712" t="e">
        <v>#N/A</v>
      </c>
      <c r="J712" t="e">
        <v>#N/A</v>
      </c>
    </row>
    <row r="713" spans="8:10">
      <c r="H713" t="e">
        <v>#N/A</v>
      </c>
      <c r="J713" t="e">
        <v>#N/A</v>
      </c>
    </row>
    <row r="714" spans="8:10">
      <c r="H714" t="e">
        <v>#N/A</v>
      </c>
      <c r="J714" t="e">
        <v>#N/A</v>
      </c>
    </row>
    <row r="715" spans="8:10">
      <c r="H715" t="e">
        <v>#N/A</v>
      </c>
      <c r="J715" t="e">
        <v>#N/A</v>
      </c>
    </row>
    <row r="716" spans="8:10">
      <c r="H716" t="e">
        <v>#N/A</v>
      </c>
      <c r="J716" t="e">
        <v>#N/A</v>
      </c>
    </row>
    <row r="717" spans="8:10">
      <c r="H717" t="e">
        <v>#N/A</v>
      </c>
      <c r="J717" t="e">
        <v>#N/A</v>
      </c>
    </row>
    <row r="718" spans="8:10">
      <c r="H718" t="e">
        <v>#N/A</v>
      </c>
      <c r="J718" t="e">
        <v>#N/A</v>
      </c>
    </row>
    <row r="719" spans="8:10">
      <c r="H719" t="e">
        <v>#N/A</v>
      </c>
      <c r="J719" t="e">
        <v>#N/A</v>
      </c>
    </row>
    <row r="720" spans="8:10">
      <c r="H720" t="e">
        <v>#N/A</v>
      </c>
      <c r="J720" t="e">
        <v>#N/A</v>
      </c>
    </row>
    <row r="721" spans="8:10">
      <c r="H721" t="e">
        <v>#N/A</v>
      </c>
      <c r="J721" t="e">
        <v>#N/A</v>
      </c>
    </row>
    <row r="722" spans="8:10">
      <c r="H722" t="e">
        <v>#N/A</v>
      </c>
      <c r="J722" t="e">
        <v>#N/A</v>
      </c>
    </row>
    <row r="723" spans="8:10">
      <c r="H723" t="e">
        <v>#N/A</v>
      </c>
      <c r="J723" t="e">
        <v>#N/A</v>
      </c>
    </row>
    <row r="724" spans="8:10">
      <c r="H724" t="e">
        <v>#N/A</v>
      </c>
      <c r="J724" t="e">
        <v>#N/A</v>
      </c>
    </row>
    <row r="725" spans="8:10">
      <c r="H725" t="e">
        <v>#N/A</v>
      </c>
      <c r="J725" t="e">
        <v>#N/A</v>
      </c>
    </row>
    <row r="726" spans="8:10">
      <c r="H726" t="e">
        <v>#N/A</v>
      </c>
      <c r="J726" t="e">
        <v>#N/A</v>
      </c>
    </row>
    <row r="727" spans="8:10">
      <c r="H727" t="e">
        <v>#N/A</v>
      </c>
      <c r="J727" t="e">
        <v>#N/A</v>
      </c>
    </row>
    <row r="728" spans="8:10">
      <c r="H728" t="e">
        <v>#N/A</v>
      </c>
      <c r="J728" t="e">
        <v>#N/A</v>
      </c>
    </row>
    <row r="729" spans="8:10">
      <c r="H729" t="e">
        <v>#N/A</v>
      </c>
      <c r="J729" t="e">
        <v>#N/A</v>
      </c>
    </row>
    <row r="730" spans="8:10">
      <c r="H730" t="e">
        <v>#N/A</v>
      </c>
      <c r="J730" t="e">
        <v>#N/A</v>
      </c>
    </row>
    <row r="731" spans="8:10">
      <c r="H731" t="e">
        <v>#N/A</v>
      </c>
      <c r="J731" t="e">
        <v>#N/A</v>
      </c>
    </row>
    <row r="732" spans="8:10">
      <c r="H732" t="e">
        <v>#N/A</v>
      </c>
      <c r="J732" t="e">
        <v>#N/A</v>
      </c>
    </row>
    <row r="733" spans="8:10">
      <c r="H733" t="e">
        <v>#N/A</v>
      </c>
      <c r="J733" t="e">
        <v>#N/A</v>
      </c>
    </row>
    <row r="734" spans="8:10">
      <c r="H734" t="e">
        <v>#N/A</v>
      </c>
      <c r="J734" t="e">
        <v>#N/A</v>
      </c>
    </row>
    <row r="735" spans="8:10">
      <c r="H735" t="e">
        <v>#N/A</v>
      </c>
      <c r="J735" t="e">
        <v>#N/A</v>
      </c>
    </row>
    <row r="736" spans="8:10">
      <c r="H736" t="e">
        <v>#N/A</v>
      </c>
      <c r="J736" t="e">
        <v>#N/A</v>
      </c>
    </row>
    <row r="737" spans="8:10">
      <c r="H737" t="e">
        <v>#N/A</v>
      </c>
      <c r="J737" t="e">
        <v>#N/A</v>
      </c>
    </row>
    <row r="738" spans="8:10">
      <c r="H738" t="e">
        <v>#N/A</v>
      </c>
      <c r="J738" t="e">
        <v>#N/A</v>
      </c>
    </row>
    <row r="739" spans="8:10">
      <c r="H739" t="e">
        <v>#N/A</v>
      </c>
      <c r="J739" t="e">
        <v>#N/A</v>
      </c>
    </row>
    <row r="740" spans="8:10">
      <c r="H740" t="e">
        <v>#N/A</v>
      </c>
      <c r="J740" t="e">
        <v>#N/A</v>
      </c>
    </row>
    <row r="741" spans="8:10">
      <c r="H741" t="e">
        <v>#N/A</v>
      </c>
      <c r="J741" t="e">
        <v>#N/A</v>
      </c>
    </row>
    <row r="742" spans="8:10">
      <c r="H742" t="e">
        <v>#N/A</v>
      </c>
      <c r="J742" t="e">
        <v>#N/A</v>
      </c>
    </row>
    <row r="743" spans="8:10">
      <c r="H743" t="e">
        <v>#N/A</v>
      </c>
      <c r="J743" t="e">
        <v>#N/A</v>
      </c>
    </row>
    <row r="744" spans="8:10">
      <c r="H744" t="e">
        <v>#N/A</v>
      </c>
      <c r="J744" t="e">
        <v>#N/A</v>
      </c>
    </row>
    <row r="745" spans="8:10">
      <c r="H745" t="e">
        <v>#N/A</v>
      </c>
      <c r="J745" t="e">
        <v>#N/A</v>
      </c>
    </row>
    <row r="746" spans="8:10">
      <c r="H746" t="e">
        <v>#N/A</v>
      </c>
      <c r="J746" t="e">
        <v>#N/A</v>
      </c>
    </row>
    <row r="747" spans="8:10">
      <c r="H747" t="e">
        <v>#N/A</v>
      </c>
      <c r="J747" t="e">
        <v>#N/A</v>
      </c>
    </row>
    <row r="748" spans="8:10">
      <c r="H748" t="e">
        <v>#N/A</v>
      </c>
      <c r="J748" t="e">
        <v>#N/A</v>
      </c>
    </row>
    <row r="749" spans="8:10">
      <c r="H749" t="e">
        <v>#N/A</v>
      </c>
      <c r="J749" t="e">
        <v>#N/A</v>
      </c>
    </row>
    <row r="750" spans="8:10">
      <c r="H750" t="e">
        <v>#N/A</v>
      </c>
      <c r="J750" t="e">
        <v>#N/A</v>
      </c>
    </row>
    <row r="751" spans="8:10">
      <c r="H751" t="e">
        <v>#N/A</v>
      </c>
      <c r="J751" t="e">
        <v>#N/A</v>
      </c>
    </row>
    <row r="752" spans="8:10">
      <c r="H752" t="e">
        <v>#N/A</v>
      </c>
      <c r="J752" t="e">
        <v>#N/A</v>
      </c>
    </row>
    <row r="753" spans="8:10">
      <c r="H753" t="e">
        <v>#N/A</v>
      </c>
      <c r="J753" t="e">
        <v>#N/A</v>
      </c>
    </row>
    <row r="754" spans="8:10">
      <c r="H754" t="e">
        <v>#N/A</v>
      </c>
      <c r="J754" t="e">
        <v>#N/A</v>
      </c>
    </row>
    <row r="755" spans="8:10">
      <c r="H755" t="e">
        <v>#N/A</v>
      </c>
      <c r="J755" t="e">
        <v>#N/A</v>
      </c>
    </row>
    <row r="756" spans="8:10">
      <c r="H756" t="e">
        <v>#N/A</v>
      </c>
      <c r="J756" t="e">
        <v>#N/A</v>
      </c>
    </row>
    <row r="757" spans="8:10">
      <c r="H757" t="e">
        <v>#N/A</v>
      </c>
      <c r="J757" t="e">
        <v>#N/A</v>
      </c>
    </row>
    <row r="758" spans="8:10">
      <c r="H758" t="e">
        <v>#N/A</v>
      </c>
      <c r="J758" t="e">
        <v>#N/A</v>
      </c>
    </row>
    <row r="759" spans="8:10">
      <c r="H759" t="e">
        <v>#N/A</v>
      </c>
      <c r="J759" t="e">
        <v>#N/A</v>
      </c>
    </row>
    <row r="760" spans="8:10">
      <c r="H760" t="e">
        <v>#N/A</v>
      </c>
      <c r="J760" t="e">
        <v>#N/A</v>
      </c>
    </row>
    <row r="761" spans="8:10">
      <c r="H761" t="e">
        <v>#N/A</v>
      </c>
      <c r="J761" t="e">
        <v>#N/A</v>
      </c>
    </row>
    <row r="762" spans="8:10">
      <c r="H762" t="e">
        <v>#N/A</v>
      </c>
      <c r="J762" t="e">
        <v>#N/A</v>
      </c>
    </row>
    <row r="763" spans="8:10">
      <c r="H763" t="e">
        <v>#N/A</v>
      </c>
      <c r="J763" t="e">
        <v>#N/A</v>
      </c>
    </row>
    <row r="764" spans="8:10">
      <c r="H764" t="e">
        <v>#N/A</v>
      </c>
      <c r="J764" t="e">
        <v>#N/A</v>
      </c>
    </row>
    <row r="765" spans="8:10">
      <c r="H765" t="e">
        <v>#N/A</v>
      </c>
      <c r="J765" t="e">
        <v>#N/A</v>
      </c>
    </row>
    <row r="766" spans="8:10">
      <c r="H766" t="e">
        <v>#N/A</v>
      </c>
      <c r="J766" t="e">
        <v>#N/A</v>
      </c>
    </row>
    <row r="767" spans="8:10">
      <c r="H767" t="e">
        <v>#N/A</v>
      </c>
      <c r="J767" t="e">
        <v>#N/A</v>
      </c>
    </row>
    <row r="768" spans="8:10">
      <c r="H768" t="e">
        <v>#N/A</v>
      </c>
      <c r="J768" t="e">
        <v>#N/A</v>
      </c>
    </row>
    <row r="769" spans="8:10">
      <c r="H769" t="e">
        <v>#N/A</v>
      </c>
      <c r="J769" t="e">
        <v>#N/A</v>
      </c>
    </row>
    <row r="770" spans="8:10">
      <c r="H770" t="e">
        <v>#N/A</v>
      </c>
      <c r="J770" t="e">
        <v>#N/A</v>
      </c>
    </row>
    <row r="771" spans="8:10">
      <c r="H771" t="e">
        <v>#N/A</v>
      </c>
      <c r="J771" t="e">
        <v>#N/A</v>
      </c>
    </row>
    <row r="772" spans="8:10">
      <c r="H772" t="e">
        <v>#N/A</v>
      </c>
      <c r="J772" t="e">
        <v>#N/A</v>
      </c>
    </row>
    <row r="773" spans="8:10">
      <c r="H773" t="e">
        <v>#N/A</v>
      </c>
      <c r="J773" t="e">
        <v>#N/A</v>
      </c>
    </row>
    <row r="774" spans="8:10">
      <c r="H774" t="e">
        <v>#N/A</v>
      </c>
      <c r="J774" t="e">
        <v>#N/A</v>
      </c>
    </row>
    <row r="775" spans="8:10">
      <c r="H775" t="e">
        <v>#N/A</v>
      </c>
      <c r="J775" t="e">
        <v>#N/A</v>
      </c>
    </row>
    <row r="776" spans="8:10">
      <c r="H776" t="e">
        <v>#N/A</v>
      </c>
      <c r="J776" t="e">
        <v>#N/A</v>
      </c>
    </row>
    <row r="777" spans="8:10">
      <c r="H777" t="e">
        <v>#N/A</v>
      </c>
      <c r="J777" t="e">
        <v>#N/A</v>
      </c>
    </row>
    <row r="778" spans="8:10">
      <c r="H778" t="e">
        <v>#N/A</v>
      </c>
      <c r="J778" t="e">
        <v>#N/A</v>
      </c>
    </row>
    <row r="779" spans="8:10">
      <c r="H779" t="e">
        <v>#N/A</v>
      </c>
      <c r="J779" t="e">
        <v>#N/A</v>
      </c>
    </row>
    <row r="780" spans="8:10">
      <c r="H780" t="e">
        <v>#N/A</v>
      </c>
      <c r="J780" t="e">
        <v>#N/A</v>
      </c>
    </row>
    <row r="781" spans="8:10">
      <c r="H781" t="e">
        <v>#N/A</v>
      </c>
      <c r="J781" t="e">
        <v>#N/A</v>
      </c>
    </row>
    <row r="782" spans="8:10">
      <c r="H782" t="e">
        <v>#N/A</v>
      </c>
      <c r="J782" t="e">
        <v>#N/A</v>
      </c>
    </row>
    <row r="783" spans="8:10">
      <c r="H783" t="e">
        <v>#N/A</v>
      </c>
      <c r="J783" t="e">
        <v>#N/A</v>
      </c>
    </row>
    <row r="784" spans="8:10">
      <c r="H784" t="e">
        <v>#N/A</v>
      </c>
      <c r="J784" t="e">
        <v>#N/A</v>
      </c>
    </row>
    <row r="785" spans="8:10">
      <c r="H785" t="e">
        <v>#N/A</v>
      </c>
      <c r="J785" t="e">
        <v>#N/A</v>
      </c>
    </row>
    <row r="786" spans="8:10">
      <c r="H786" t="e">
        <v>#N/A</v>
      </c>
      <c r="J786" t="e">
        <v>#N/A</v>
      </c>
    </row>
    <row r="787" spans="8:10">
      <c r="H787" t="e">
        <v>#N/A</v>
      </c>
      <c r="J787" t="e">
        <v>#N/A</v>
      </c>
    </row>
    <row r="788" spans="8:10">
      <c r="H788" t="e">
        <v>#N/A</v>
      </c>
      <c r="J788" t="e">
        <v>#N/A</v>
      </c>
    </row>
    <row r="789" spans="8:10">
      <c r="H789" t="e">
        <v>#N/A</v>
      </c>
      <c r="J789" t="e">
        <v>#N/A</v>
      </c>
    </row>
    <row r="790" spans="8:10">
      <c r="H790" t="e">
        <v>#N/A</v>
      </c>
      <c r="J790" t="e">
        <v>#N/A</v>
      </c>
    </row>
    <row r="791" spans="8:10">
      <c r="H791" t="e">
        <v>#N/A</v>
      </c>
      <c r="J791" t="e">
        <v>#N/A</v>
      </c>
    </row>
    <row r="792" spans="8:10">
      <c r="H792" t="e">
        <v>#N/A</v>
      </c>
      <c r="J792" t="e">
        <v>#N/A</v>
      </c>
    </row>
    <row r="793" spans="8:10">
      <c r="H793" t="e">
        <v>#N/A</v>
      </c>
      <c r="J793" t="e">
        <v>#N/A</v>
      </c>
    </row>
    <row r="794" spans="8:10">
      <c r="H794" t="e">
        <v>#N/A</v>
      </c>
      <c r="J794" t="e">
        <v>#N/A</v>
      </c>
    </row>
    <row r="795" spans="8:10">
      <c r="H795" t="e">
        <v>#N/A</v>
      </c>
      <c r="J795" t="e">
        <v>#N/A</v>
      </c>
    </row>
    <row r="796" spans="8:10">
      <c r="H796" t="e">
        <v>#N/A</v>
      </c>
      <c r="J796" t="e">
        <v>#N/A</v>
      </c>
    </row>
    <row r="797" spans="8:10">
      <c r="H797" t="e">
        <v>#N/A</v>
      </c>
      <c r="J797" t="e">
        <v>#N/A</v>
      </c>
    </row>
    <row r="798" spans="8:10">
      <c r="H798" t="e">
        <v>#N/A</v>
      </c>
      <c r="J798" t="e">
        <v>#N/A</v>
      </c>
    </row>
    <row r="799" spans="8:10">
      <c r="H799" t="e">
        <v>#N/A</v>
      </c>
      <c r="J799" t="e">
        <v>#N/A</v>
      </c>
    </row>
    <row r="800" spans="8:10">
      <c r="H800" t="e">
        <v>#N/A</v>
      </c>
      <c r="J800" t="e">
        <v>#N/A</v>
      </c>
    </row>
    <row r="801" spans="8:10">
      <c r="H801" t="e">
        <v>#N/A</v>
      </c>
      <c r="J801" t="e">
        <v>#N/A</v>
      </c>
    </row>
    <row r="802" spans="8:10">
      <c r="H802" t="e">
        <v>#N/A</v>
      </c>
      <c r="J802" t="e">
        <v>#N/A</v>
      </c>
    </row>
    <row r="803" spans="8:10">
      <c r="H803" t="e">
        <v>#N/A</v>
      </c>
      <c r="J803" t="e">
        <v>#N/A</v>
      </c>
    </row>
    <row r="804" spans="8:10">
      <c r="H804" t="e">
        <v>#N/A</v>
      </c>
      <c r="J804" t="e">
        <v>#N/A</v>
      </c>
    </row>
    <row r="805" spans="8:10">
      <c r="H805" t="e">
        <v>#N/A</v>
      </c>
      <c r="J805" t="e">
        <v>#N/A</v>
      </c>
    </row>
    <row r="806" spans="8:10">
      <c r="H806" t="e">
        <v>#N/A</v>
      </c>
      <c r="J806" t="e">
        <v>#N/A</v>
      </c>
    </row>
    <row r="807" spans="8:10">
      <c r="H807" t="e">
        <v>#N/A</v>
      </c>
      <c r="J807" t="e">
        <v>#N/A</v>
      </c>
    </row>
    <row r="808" spans="8:10">
      <c r="H808" t="e">
        <v>#N/A</v>
      </c>
      <c r="J808" t="e">
        <v>#N/A</v>
      </c>
    </row>
    <row r="809" spans="8:10">
      <c r="H809" t="e">
        <v>#N/A</v>
      </c>
      <c r="J809" t="e">
        <v>#N/A</v>
      </c>
    </row>
    <row r="810" spans="8:10">
      <c r="H810" t="e">
        <v>#N/A</v>
      </c>
      <c r="J810" t="e">
        <v>#N/A</v>
      </c>
    </row>
    <row r="811" spans="8:10">
      <c r="H811" t="e">
        <v>#N/A</v>
      </c>
      <c r="J811" t="e">
        <v>#N/A</v>
      </c>
    </row>
    <row r="812" spans="8:10">
      <c r="H812" t="e">
        <v>#N/A</v>
      </c>
      <c r="J812" t="e">
        <v>#N/A</v>
      </c>
    </row>
    <row r="813" spans="8:10">
      <c r="H813" t="e">
        <v>#N/A</v>
      </c>
      <c r="J813" t="e">
        <v>#N/A</v>
      </c>
    </row>
    <row r="814" spans="8:10">
      <c r="H814" t="e">
        <v>#N/A</v>
      </c>
      <c r="J814" t="e">
        <v>#N/A</v>
      </c>
    </row>
    <row r="815" spans="8:10">
      <c r="H815" t="e">
        <v>#N/A</v>
      </c>
      <c r="J815" t="e">
        <v>#N/A</v>
      </c>
    </row>
    <row r="816" spans="8:10">
      <c r="H816" t="e">
        <v>#N/A</v>
      </c>
      <c r="J816" t="e">
        <v>#N/A</v>
      </c>
    </row>
    <row r="817" spans="8:10">
      <c r="H817" t="e">
        <v>#N/A</v>
      </c>
      <c r="J817" t="e">
        <v>#N/A</v>
      </c>
    </row>
    <row r="818" spans="8:10">
      <c r="H818" t="e">
        <v>#N/A</v>
      </c>
      <c r="J818" t="e">
        <v>#N/A</v>
      </c>
    </row>
    <row r="819" spans="8:10">
      <c r="H819" t="e">
        <v>#N/A</v>
      </c>
      <c r="J819" t="e">
        <v>#N/A</v>
      </c>
    </row>
    <row r="820" spans="8:10">
      <c r="H820" t="e">
        <v>#N/A</v>
      </c>
      <c r="J820" t="e">
        <v>#N/A</v>
      </c>
    </row>
    <row r="821" spans="8:10">
      <c r="H821" t="e">
        <v>#N/A</v>
      </c>
      <c r="J821" t="e">
        <v>#N/A</v>
      </c>
    </row>
    <row r="822" spans="8:10">
      <c r="H822" t="e">
        <v>#N/A</v>
      </c>
      <c r="J822" t="e">
        <v>#N/A</v>
      </c>
    </row>
    <row r="823" spans="8:10">
      <c r="H823" t="e">
        <v>#N/A</v>
      </c>
      <c r="J823" t="e">
        <v>#N/A</v>
      </c>
    </row>
    <row r="824" spans="8:10">
      <c r="H824" t="e">
        <v>#N/A</v>
      </c>
      <c r="J824" t="e">
        <v>#N/A</v>
      </c>
    </row>
    <row r="825" spans="8:10">
      <c r="H825" t="e">
        <v>#N/A</v>
      </c>
      <c r="J825" t="e">
        <v>#N/A</v>
      </c>
    </row>
    <row r="826" spans="8:10">
      <c r="H826" t="e">
        <v>#N/A</v>
      </c>
      <c r="J826" t="e">
        <v>#N/A</v>
      </c>
    </row>
    <row r="827" spans="8:10">
      <c r="H827" t="e">
        <v>#N/A</v>
      </c>
      <c r="J827" t="e">
        <v>#N/A</v>
      </c>
    </row>
    <row r="828" spans="8:10">
      <c r="H828" t="e">
        <v>#N/A</v>
      </c>
      <c r="J828" t="e">
        <v>#N/A</v>
      </c>
    </row>
    <row r="829" spans="8:10">
      <c r="H829" t="e">
        <v>#N/A</v>
      </c>
      <c r="J829" t="e">
        <v>#N/A</v>
      </c>
    </row>
    <row r="830" spans="8:10">
      <c r="H830" t="e">
        <v>#N/A</v>
      </c>
      <c r="J830" t="e">
        <v>#N/A</v>
      </c>
    </row>
    <row r="831" spans="8:10">
      <c r="H831" t="e">
        <v>#N/A</v>
      </c>
      <c r="J831" t="e">
        <v>#N/A</v>
      </c>
    </row>
    <row r="832" spans="8:10">
      <c r="H832" t="e">
        <v>#N/A</v>
      </c>
      <c r="J832" t="e">
        <v>#N/A</v>
      </c>
    </row>
    <row r="833" spans="8:10">
      <c r="H833" t="e">
        <v>#N/A</v>
      </c>
      <c r="J833" t="e">
        <v>#N/A</v>
      </c>
    </row>
    <row r="834" spans="8:10">
      <c r="H834" t="e">
        <v>#N/A</v>
      </c>
      <c r="J834" t="e">
        <v>#N/A</v>
      </c>
    </row>
    <row r="835" spans="8:10">
      <c r="H835" t="e">
        <v>#N/A</v>
      </c>
      <c r="J835" t="e">
        <v>#N/A</v>
      </c>
    </row>
    <row r="836" spans="8:10">
      <c r="H836" t="e">
        <v>#N/A</v>
      </c>
      <c r="J836" t="e">
        <v>#N/A</v>
      </c>
    </row>
    <row r="837" spans="8:10">
      <c r="H837" t="e">
        <v>#N/A</v>
      </c>
      <c r="J837" t="e">
        <v>#N/A</v>
      </c>
    </row>
    <row r="838" spans="8:10">
      <c r="H838" t="e">
        <v>#N/A</v>
      </c>
      <c r="J838" t="e">
        <v>#N/A</v>
      </c>
    </row>
    <row r="839" spans="8:10">
      <c r="H839" t="e">
        <v>#N/A</v>
      </c>
      <c r="J839" t="e">
        <v>#N/A</v>
      </c>
    </row>
    <row r="840" spans="8:10">
      <c r="H840" t="e">
        <v>#N/A</v>
      </c>
      <c r="J840" t="e">
        <v>#N/A</v>
      </c>
    </row>
    <row r="841" spans="8:10">
      <c r="H841" t="e">
        <v>#N/A</v>
      </c>
      <c r="J841" t="e">
        <v>#N/A</v>
      </c>
    </row>
    <row r="842" spans="8:10">
      <c r="H842" t="e">
        <v>#N/A</v>
      </c>
      <c r="J842" t="e">
        <v>#N/A</v>
      </c>
    </row>
    <row r="843" spans="8:10">
      <c r="H843" t="e">
        <v>#N/A</v>
      </c>
      <c r="J843" t="e">
        <v>#N/A</v>
      </c>
    </row>
    <row r="844" spans="8:10">
      <c r="H844" t="e">
        <v>#N/A</v>
      </c>
      <c r="J844" t="e">
        <v>#N/A</v>
      </c>
    </row>
    <row r="845" spans="8:10">
      <c r="H845" t="e">
        <v>#N/A</v>
      </c>
      <c r="J845" t="e">
        <v>#N/A</v>
      </c>
    </row>
    <row r="846" spans="8:10">
      <c r="H846" t="e">
        <v>#N/A</v>
      </c>
      <c r="J846" t="e">
        <v>#N/A</v>
      </c>
    </row>
    <row r="847" spans="8:10">
      <c r="H847" t="e">
        <v>#N/A</v>
      </c>
      <c r="J847" t="e">
        <v>#N/A</v>
      </c>
    </row>
    <row r="848" spans="8:10">
      <c r="H848" t="e">
        <v>#N/A</v>
      </c>
      <c r="J848" t="e">
        <v>#N/A</v>
      </c>
    </row>
    <row r="849" spans="8:10">
      <c r="H849" t="e">
        <v>#N/A</v>
      </c>
      <c r="J849" t="e">
        <v>#N/A</v>
      </c>
    </row>
    <row r="850" spans="8:10">
      <c r="H850" t="e">
        <v>#N/A</v>
      </c>
      <c r="J850" t="e">
        <v>#N/A</v>
      </c>
    </row>
    <row r="851" spans="8:10">
      <c r="H851" t="e">
        <v>#N/A</v>
      </c>
      <c r="J851" t="e">
        <v>#N/A</v>
      </c>
    </row>
    <row r="852" spans="8:10">
      <c r="H852" t="e">
        <v>#N/A</v>
      </c>
      <c r="J852" t="e">
        <v>#N/A</v>
      </c>
    </row>
    <row r="853" spans="8:10">
      <c r="H853" t="e">
        <v>#N/A</v>
      </c>
      <c r="J853" t="e">
        <v>#N/A</v>
      </c>
    </row>
    <row r="854" spans="8:10">
      <c r="H854" t="e">
        <v>#N/A</v>
      </c>
      <c r="J854" t="e">
        <v>#N/A</v>
      </c>
    </row>
    <row r="855" spans="8:10">
      <c r="H855" t="e">
        <v>#N/A</v>
      </c>
      <c r="J855" t="e">
        <v>#N/A</v>
      </c>
    </row>
    <row r="856" spans="8:10">
      <c r="H856" t="e">
        <v>#N/A</v>
      </c>
      <c r="J856" t="e">
        <v>#N/A</v>
      </c>
    </row>
    <row r="857" spans="8:10">
      <c r="H857" t="e">
        <v>#N/A</v>
      </c>
      <c r="J857" t="e">
        <v>#N/A</v>
      </c>
    </row>
    <row r="858" spans="8:10">
      <c r="H858" t="e">
        <v>#N/A</v>
      </c>
      <c r="J858" t="e">
        <v>#N/A</v>
      </c>
    </row>
    <row r="859" spans="8:10">
      <c r="H859" t="e">
        <v>#N/A</v>
      </c>
      <c r="J859" t="e">
        <v>#N/A</v>
      </c>
    </row>
    <row r="860" spans="8:10">
      <c r="H860" t="e">
        <v>#N/A</v>
      </c>
      <c r="J860" t="e">
        <v>#N/A</v>
      </c>
    </row>
    <row r="861" spans="8:10">
      <c r="H861" t="e">
        <v>#N/A</v>
      </c>
      <c r="J861" t="e">
        <v>#N/A</v>
      </c>
    </row>
    <row r="862" spans="8:10">
      <c r="H862" t="e">
        <v>#N/A</v>
      </c>
      <c r="J862" t="e">
        <v>#N/A</v>
      </c>
    </row>
    <row r="863" spans="8:10">
      <c r="H863" t="e">
        <v>#N/A</v>
      </c>
      <c r="J863" t="e">
        <v>#N/A</v>
      </c>
    </row>
    <row r="864" spans="8:10">
      <c r="H864" t="e">
        <v>#N/A</v>
      </c>
      <c r="J864" t="e">
        <v>#N/A</v>
      </c>
    </row>
    <row r="865" spans="8:10">
      <c r="H865" t="e">
        <v>#N/A</v>
      </c>
      <c r="J865" t="e">
        <v>#N/A</v>
      </c>
    </row>
    <row r="866" spans="8:10">
      <c r="H866" t="e">
        <v>#N/A</v>
      </c>
      <c r="J866" t="e">
        <v>#N/A</v>
      </c>
    </row>
    <row r="867" spans="8:10">
      <c r="H867" t="e">
        <v>#N/A</v>
      </c>
      <c r="J867" t="e">
        <v>#N/A</v>
      </c>
    </row>
    <row r="868" spans="8:10">
      <c r="H868" t="e">
        <v>#N/A</v>
      </c>
      <c r="J868" t="e">
        <v>#N/A</v>
      </c>
    </row>
    <row r="869" spans="8:10">
      <c r="H869" t="e">
        <v>#N/A</v>
      </c>
      <c r="J869" t="e">
        <v>#N/A</v>
      </c>
    </row>
    <row r="870" spans="8:10">
      <c r="H870" t="e">
        <v>#N/A</v>
      </c>
      <c r="J870" t="e">
        <v>#N/A</v>
      </c>
    </row>
    <row r="871" spans="8:10">
      <c r="H871" t="e">
        <v>#N/A</v>
      </c>
      <c r="J871" t="e">
        <v>#N/A</v>
      </c>
    </row>
    <row r="872" spans="8:10">
      <c r="H872" t="e">
        <v>#N/A</v>
      </c>
      <c r="J872" t="e">
        <v>#N/A</v>
      </c>
    </row>
    <row r="873" spans="8:10">
      <c r="H873" t="e">
        <v>#N/A</v>
      </c>
      <c r="J873" t="e">
        <v>#N/A</v>
      </c>
    </row>
    <row r="874" spans="8:10">
      <c r="H874" t="e">
        <v>#N/A</v>
      </c>
      <c r="J874" t="e">
        <v>#N/A</v>
      </c>
    </row>
    <row r="875" spans="8:10">
      <c r="H875" t="e">
        <v>#N/A</v>
      </c>
      <c r="J875" t="e">
        <v>#N/A</v>
      </c>
    </row>
    <row r="876" spans="8:10">
      <c r="H876" t="e">
        <v>#N/A</v>
      </c>
      <c r="J876" t="e">
        <v>#N/A</v>
      </c>
    </row>
    <row r="877" spans="8:10">
      <c r="H877" t="e">
        <v>#N/A</v>
      </c>
      <c r="J877" t="e">
        <v>#N/A</v>
      </c>
    </row>
    <row r="878" spans="8:10">
      <c r="H878" t="e">
        <v>#N/A</v>
      </c>
      <c r="J878" t="e">
        <v>#N/A</v>
      </c>
    </row>
    <row r="879" spans="8:10">
      <c r="H879" t="e">
        <v>#N/A</v>
      </c>
      <c r="J879" t="e">
        <v>#N/A</v>
      </c>
    </row>
    <row r="880" spans="8:10">
      <c r="H880" t="e">
        <v>#N/A</v>
      </c>
      <c r="J880" t="e">
        <v>#N/A</v>
      </c>
    </row>
    <row r="881" spans="8:10">
      <c r="H881" t="e">
        <v>#N/A</v>
      </c>
      <c r="J881" t="e">
        <v>#N/A</v>
      </c>
    </row>
    <row r="882" spans="8:10">
      <c r="H882" t="e">
        <v>#N/A</v>
      </c>
      <c r="J882" t="e">
        <v>#N/A</v>
      </c>
    </row>
    <row r="883" spans="8:10">
      <c r="H883" t="e">
        <v>#N/A</v>
      </c>
      <c r="J883" t="e">
        <v>#N/A</v>
      </c>
    </row>
    <row r="884" spans="8:10">
      <c r="H884" t="e">
        <v>#N/A</v>
      </c>
      <c r="J884" t="e">
        <v>#N/A</v>
      </c>
    </row>
    <row r="885" spans="8:10">
      <c r="H885" t="e">
        <v>#N/A</v>
      </c>
      <c r="J885" t="e">
        <v>#N/A</v>
      </c>
    </row>
    <row r="886" spans="8:10">
      <c r="H886" t="e">
        <v>#N/A</v>
      </c>
      <c r="J886" t="e">
        <v>#N/A</v>
      </c>
    </row>
    <row r="887" spans="8:10">
      <c r="H887" t="e">
        <v>#N/A</v>
      </c>
      <c r="J887" t="e">
        <v>#N/A</v>
      </c>
    </row>
    <row r="888" spans="8:10">
      <c r="H888" t="e">
        <v>#N/A</v>
      </c>
      <c r="J888" t="e">
        <v>#N/A</v>
      </c>
    </row>
    <row r="889" spans="8:10">
      <c r="H889" t="e">
        <v>#N/A</v>
      </c>
      <c r="J889" t="e">
        <v>#N/A</v>
      </c>
    </row>
    <row r="890" spans="8:10">
      <c r="H890" t="e">
        <v>#N/A</v>
      </c>
      <c r="J890" t="e">
        <v>#N/A</v>
      </c>
    </row>
    <row r="891" spans="8:10">
      <c r="H891" t="e">
        <v>#N/A</v>
      </c>
      <c r="J891" t="e">
        <v>#N/A</v>
      </c>
    </row>
    <row r="892" spans="8:10">
      <c r="H892" t="e">
        <v>#N/A</v>
      </c>
      <c r="J892" t="e">
        <v>#N/A</v>
      </c>
    </row>
    <row r="893" spans="8:10">
      <c r="H893" t="e">
        <v>#N/A</v>
      </c>
      <c r="J893" t="e">
        <v>#N/A</v>
      </c>
    </row>
    <row r="894" spans="8:10">
      <c r="H894" t="e">
        <v>#N/A</v>
      </c>
      <c r="J894" t="e">
        <v>#N/A</v>
      </c>
    </row>
    <row r="895" spans="8:10">
      <c r="H895" t="e">
        <v>#N/A</v>
      </c>
      <c r="J895" t="e">
        <v>#N/A</v>
      </c>
    </row>
    <row r="896" spans="8:10">
      <c r="H896" t="e">
        <v>#N/A</v>
      </c>
      <c r="J896" t="e">
        <v>#N/A</v>
      </c>
    </row>
    <row r="897" spans="8:10">
      <c r="H897" t="e">
        <v>#N/A</v>
      </c>
      <c r="J897" t="e">
        <v>#N/A</v>
      </c>
    </row>
    <row r="898" spans="8:10">
      <c r="H898" t="e">
        <v>#N/A</v>
      </c>
      <c r="J898" t="e">
        <v>#N/A</v>
      </c>
    </row>
    <row r="899" spans="8:10">
      <c r="H899" t="e">
        <v>#N/A</v>
      </c>
      <c r="J899" t="e">
        <v>#N/A</v>
      </c>
    </row>
    <row r="900" spans="8:10">
      <c r="H900" t="e">
        <v>#N/A</v>
      </c>
      <c r="J900" t="e">
        <v>#N/A</v>
      </c>
    </row>
    <row r="901" spans="8:10">
      <c r="H901" t="e">
        <v>#N/A</v>
      </c>
      <c r="J901" t="e">
        <v>#N/A</v>
      </c>
    </row>
    <row r="902" spans="8:10">
      <c r="H902" t="e">
        <v>#N/A</v>
      </c>
      <c r="J902" t="e">
        <v>#N/A</v>
      </c>
    </row>
    <row r="903" spans="8:10">
      <c r="H903" t="e">
        <v>#N/A</v>
      </c>
      <c r="J903" t="e">
        <v>#N/A</v>
      </c>
    </row>
    <row r="904" spans="8:10">
      <c r="H904" t="e">
        <v>#N/A</v>
      </c>
      <c r="J904" t="e">
        <v>#N/A</v>
      </c>
    </row>
    <row r="905" spans="8:10">
      <c r="H905" t="e">
        <v>#N/A</v>
      </c>
      <c r="J905" t="e">
        <v>#N/A</v>
      </c>
    </row>
    <row r="906" spans="8:10">
      <c r="H906" t="e">
        <v>#N/A</v>
      </c>
      <c r="J906" t="e">
        <v>#N/A</v>
      </c>
    </row>
    <row r="907" spans="8:10">
      <c r="H907" t="e">
        <v>#N/A</v>
      </c>
      <c r="J907" t="e">
        <v>#N/A</v>
      </c>
    </row>
    <row r="908" spans="8:10">
      <c r="H908" t="e">
        <v>#N/A</v>
      </c>
      <c r="J908" t="e">
        <v>#N/A</v>
      </c>
    </row>
    <row r="909" spans="8:10">
      <c r="H909" t="e">
        <v>#N/A</v>
      </c>
      <c r="J909" t="e">
        <v>#N/A</v>
      </c>
    </row>
    <row r="910" spans="8:10">
      <c r="H910" t="e">
        <v>#N/A</v>
      </c>
      <c r="J910" t="e">
        <v>#N/A</v>
      </c>
    </row>
    <row r="911" spans="8:10">
      <c r="H911" t="e">
        <v>#N/A</v>
      </c>
      <c r="J911" t="e">
        <v>#N/A</v>
      </c>
    </row>
    <row r="912" spans="8:10">
      <c r="H912" t="e">
        <v>#N/A</v>
      </c>
      <c r="J912" t="e">
        <v>#N/A</v>
      </c>
    </row>
    <row r="913" spans="8:10">
      <c r="H913" t="e">
        <v>#N/A</v>
      </c>
      <c r="J913" t="e">
        <v>#N/A</v>
      </c>
    </row>
    <row r="914" spans="8:10">
      <c r="H914" t="e">
        <v>#N/A</v>
      </c>
      <c r="J914" t="e">
        <v>#N/A</v>
      </c>
    </row>
    <row r="915" spans="8:10">
      <c r="H915" t="e">
        <v>#N/A</v>
      </c>
      <c r="J915" t="e">
        <v>#N/A</v>
      </c>
    </row>
    <row r="916" spans="8:10">
      <c r="H916" t="e">
        <v>#N/A</v>
      </c>
      <c r="J916" t="e">
        <v>#N/A</v>
      </c>
    </row>
    <row r="917" spans="8:10">
      <c r="H917" t="e">
        <v>#N/A</v>
      </c>
      <c r="J917" t="e">
        <v>#N/A</v>
      </c>
    </row>
    <row r="918" spans="8:10">
      <c r="H918" t="e">
        <v>#N/A</v>
      </c>
      <c r="J918" t="e">
        <v>#N/A</v>
      </c>
    </row>
    <row r="919" spans="8:10">
      <c r="H919" t="e">
        <v>#N/A</v>
      </c>
      <c r="J919" t="e">
        <v>#N/A</v>
      </c>
    </row>
    <row r="920" spans="8:10">
      <c r="H920" t="e">
        <v>#N/A</v>
      </c>
      <c r="J920" t="e">
        <v>#N/A</v>
      </c>
    </row>
    <row r="921" spans="8:10">
      <c r="H921" t="e">
        <v>#N/A</v>
      </c>
      <c r="J921" t="e">
        <v>#N/A</v>
      </c>
    </row>
    <row r="922" spans="8:10">
      <c r="H922" t="e">
        <v>#N/A</v>
      </c>
      <c r="J922" t="e">
        <v>#N/A</v>
      </c>
    </row>
    <row r="923" spans="8:10">
      <c r="H923" t="e">
        <v>#N/A</v>
      </c>
      <c r="J923" t="e">
        <v>#N/A</v>
      </c>
    </row>
    <row r="924" spans="8:10">
      <c r="H924" t="e">
        <v>#N/A</v>
      </c>
      <c r="J924" t="e">
        <v>#N/A</v>
      </c>
    </row>
    <row r="925" spans="8:10">
      <c r="H925" t="e">
        <v>#N/A</v>
      </c>
      <c r="J925" t="e">
        <v>#N/A</v>
      </c>
    </row>
    <row r="926" spans="8:10">
      <c r="H926" t="e">
        <v>#N/A</v>
      </c>
      <c r="J926" t="e">
        <v>#N/A</v>
      </c>
    </row>
    <row r="927" spans="8:10">
      <c r="H927" t="e">
        <v>#N/A</v>
      </c>
      <c r="J927" t="e">
        <v>#N/A</v>
      </c>
    </row>
    <row r="928" spans="8:10">
      <c r="H928" t="e">
        <v>#N/A</v>
      </c>
      <c r="J928" t="e">
        <v>#N/A</v>
      </c>
    </row>
    <row r="929" spans="8:10">
      <c r="H929" t="e">
        <v>#N/A</v>
      </c>
      <c r="J929" t="e">
        <v>#N/A</v>
      </c>
    </row>
    <row r="930" spans="8:10">
      <c r="H930" t="e">
        <v>#N/A</v>
      </c>
      <c r="J930" t="e">
        <v>#N/A</v>
      </c>
    </row>
    <row r="931" spans="8:10">
      <c r="H931" t="e">
        <v>#N/A</v>
      </c>
      <c r="J931" t="e">
        <v>#N/A</v>
      </c>
    </row>
    <row r="932" spans="8:10">
      <c r="H932" t="e">
        <v>#N/A</v>
      </c>
      <c r="J932" t="e">
        <v>#N/A</v>
      </c>
    </row>
    <row r="933" spans="8:10">
      <c r="H933" t="e">
        <v>#N/A</v>
      </c>
      <c r="J933" t="e">
        <v>#N/A</v>
      </c>
    </row>
    <row r="934" spans="8:10">
      <c r="H934" t="e">
        <v>#N/A</v>
      </c>
      <c r="J934" t="e">
        <v>#N/A</v>
      </c>
    </row>
    <row r="935" spans="8:10">
      <c r="H935" t="e">
        <v>#N/A</v>
      </c>
      <c r="J935" t="e">
        <v>#N/A</v>
      </c>
    </row>
    <row r="936" spans="8:10">
      <c r="H936" t="e">
        <v>#N/A</v>
      </c>
      <c r="J936" t="e">
        <v>#N/A</v>
      </c>
    </row>
    <row r="937" spans="8:10">
      <c r="H937" t="e">
        <v>#N/A</v>
      </c>
      <c r="J937" t="e">
        <v>#N/A</v>
      </c>
    </row>
    <row r="938" spans="8:10">
      <c r="H938" t="e">
        <v>#N/A</v>
      </c>
      <c r="J938" t="e">
        <v>#N/A</v>
      </c>
    </row>
    <row r="939" spans="8:10">
      <c r="H939" t="e">
        <v>#N/A</v>
      </c>
      <c r="J939" t="e">
        <v>#N/A</v>
      </c>
    </row>
    <row r="940" spans="8:10">
      <c r="H940" t="e">
        <v>#N/A</v>
      </c>
      <c r="J940" t="e">
        <v>#N/A</v>
      </c>
    </row>
    <row r="941" spans="8:10">
      <c r="H941" t="e">
        <v>#N/A</v>
      </c>
      <c r="J941" t="e">
        <v>#N/A</v>
      </c>
    </row>
    <row r="942" spans="8:10">
      <c r="H942" t="e">
        <v>#N/A</v>
      </c>
      <c r="J942" t="e">
        <v>#N/A</v>
      </c>
    </row>
    <row r="943" spans="8:10">
      <c r="H943" t="e">
        <v>#N/A</v>
      </c>
      <c r="J943" t="e">
        <v>#N/A</v>
      </c>
    </row>
    <row r="944" spans="8:10">
      <c r="H944" t="e">
        <v>#N/A</v>
      </c>
      <c r="J944" t="e">
        <v>#N/A</v>
      </c>
    </row>
    <row r="945" spans="8:10">
      <c r="H945" t="e">
        <v>#N/A</v>
      </c>
      <c r="J945" t="e">
        <v>#N/A</v>
      </c>
    </row>
    <row r="946" spans="8:10">
      <c r="H946" t="e">
        <v>#N/A</v>
      </c>
      <c r="J946" t="e">
        <v>#N/A</v>
      </c>
    </row>
    <row r="947" spans="8:10">
      <c r="H947" t="e">
        <v>#N/A</v>
      </c>
      <c r="J947" t="e">
        <v>#N/A</v>
      </c>
    </row>
    <row r="948" spans="8:10">
      <c r="H948" t="e">
        <v>#N/A</v>
      </c>
      <c r="J948" t="e">
        <v>#N/A</v>
      </c>
    </row>
    <row r="949" spans="8:10">
      <c r="H949" t="e">
        <v>#N/A</v>
      </c>
      <c r="J949" t="e">
        <v>#N/A</v>
      </c>
    </row>
    <row r="950" spans="8:10">
      <c r="H950" t="e">
        <v>#N/A</v>
      </c>
      <c r="J950" t="e">
        <v>#N/A</v>
      </c>
    </row>
    <row r="951" spans="8:10">
      <c r="H951" t="e">
        <v>#N/A</v>
      </c>
      <c r="J951" t="e">
        <v>#N/A</v>
      </c>
    </row>
    <row r="952" spans="8:10">
      <c r="H952" t="e">
        <v>#N/A</v>
      </c>
      <c r="J952" t="e">
        <v>#N/A</v>
      </c>
    </row>
    <row r="953" spans="8:10">
      <c r="H953" t="e">
        <v>#N/A</v>
      </c>
      <c r="J953" t="e">
        <v>#N/A</v>
      </c>
    </row>
    <row r="954" spans="8:10">
      <c r="H954" t="e">
        <v>#N/A</v>
      </c>
      <c r="J954" t="e">
        <v>#N/A</v>
      </c>
    </row>
    <row r="955" spans="8:10">
      <c r="H955" t="e">
        <v>#N/A</v>
      </c>
      <c r="J955" t="e">
        <v>#N/A</v>
      </c>
    </row>
    <row r="956" spans="8:10">
      <c r="H956" t="e">
        <v>#N/A</v>
      </c>
      <c r="J956" t="e">
        <v>#N/A</v>
      </c>
    </row>
    <row r="957" spans="8:10">
      <c r="H957" t="e">
        <v>#N/A</v>
      </c>
      <c r="J957" t="e">
        <v>#N/A</v>
      </c>
    </row>
    <row r="958" spans="8:10">
      <c r="H958" t="e">
        <v>#N/A</v>
      </c>
      <c r="J958" t="e">
        <v>#N/A</v>
      </c>
    </row>
    <row r="959" spans="8:10">
      <c r="H959" t="e">
        <v>#N/A</v>
      </c>
      <c r="J959" t="e">
        <v>#N/A</v>
      </c>
    </row>
    <row r="960" spans="8:10">
      <c r="H960" t="e">
        <v>#N/A</v>
      </c>
      <c r="J960" t="e">
        <v>#N/A</v>
      </c>
    </row>
    <row r="961" spans="8:10">
      <c r="H961" t="e">
        <v>#N/A</v>
      </c>
      <c r="J961" t="e">
        <v>#N/A</v>
      </c>
    </row>
    <row r="962" spans="8:10">
      <c r="H962" t="e">
        <v>#N/A</v>
      </c>
      <c r="J962" t="e">
        <v>#N/A</v>
      </c>
    </row>
    <row r="963" spans="8:10">
      <c r="H963" t="e">
        <v>#N/A</v>
      </c>
      <c r="J963" t="e">
        <v>#N/A</v>
      </c>
    </row>
    <row r="964" spans="8:10">
      <c r="H964" t="e">
        <v>#N/A</v>
      </c>
      <c r="J964" t="e">
        <v>#N/A</v>
      </c>
    </row>
    <row r="965" spans="8:10">
      <c r="H965" t="e">
        <v>#N/A</v>
      </c>
      <c r="J965" t="e">
        <v>#N/A</v>
      </c>
    </row>
    <row r="966" spans="8:10">
      <c r="H966" t="e">
        <v>#N/A</v>
      </c>
      <c r="J966" t="e">
        <v>#N/A</v>
      </c>
    </row>
    <row r="967" spans="8:10">
      <c r="H967" t="e">
        <v>#N/A</v>
      </c>
      <c r="J967" t="e">
        <v>#N/A</v>
      </c>
    </row>
    <row r="968" spans="8:10">
      <c r="H968" t="e">
        <v>#N/A</v>
      </c>
      <c r="J968" t="e">
        <v>#N/A</v>
      </c>
    </row>
    <row r="969" spans="8:10">
      <c r="H969" t="e">
        <v>#N/A</v>
      </c>
      <c r="J969" t="e">
        <v>#N/A</v>
      </c>
    </row>
    <row r="970" spans="8:10">
      <c r="H970" t="e">
        <v>#N/A</v>
      </c>
      <c r="J970" t="e">
        <v>#N/A</v>
      </c>
    </row>
    <row r="971" spans="8:10">
      <c r="H971" t="e">
        <v>#N/A</v>
      </c>
      <c r="J971" t="e">
        <v>#N/A</v>
      </c>
    </row>
    <row r="972" spans="8:10">
      <c r="H972" t="e">
        <v>#N/A</v>
      </c>
      <c r="J972" t="e">
        <v>#N/A</v>
      </c>
    </row>
    <row r="973" spans="8:10">
      <c r="H973" t="e">
        <v>#N/A</v>
      </c>
      <c r="J973" t="e">
        <v>#N/A</v>
      </c>
    </row>
    <row r="974" spans="8:10">
      <c r="H974" t="e">
        <v>#N/A</v>
      </c>
      <c r="J974" t="e">
        <v>#N/A</v>
      </c>
    </row>
    <row r="975" spans="8:10">
      <c r="H975" t="e">
        <v>#N/A</v>
      </c>
      <c r="J975" t="e">
        <v>#N/A</v>
      </c>
    </row>
    <row r="976" spans="8:10">
      <c r="H976" t="e">
        <v>#N/A</v>
      </c>
      <c r="J976" t="e">
        <v>#N/A</v>
      </c>
    </row>
    <row r="977" spans="8:10">
      <c r="H977" t="e">
        <v>#N/A</v>
      </c>
      <c r="J977" t="e">
        <v>#N/A</v>
      </c>
    </row>
    <row r="978" spans="8:10">
      <c r="H978" t="e">
        <v>#N/A</v>
      </c>
      <c r="J978" t="e">
        <v>#N/A</v>
      </c>
    </row>
    <row r="979" spans="8:10">
      <c r="H979" t="e">
        <v>#N/A</v>
      </c>
      <c r="J979" t="e">
        <v>#N/A</v>
      </c>
    </row>
    <row r="980" spans="8:10">
      <c r="H980" t="e">
        <v>#N/A</v>
      </c>
      <c r="J980" t="e">
        <v>#N/A</v>
      </c>
    </row>
    <row r="981" spans="8:10">
      <c r="H981" t="e">
        <v>#N/A</v>
      </c>
      <c r="J981" t="e">
        <v>#N/A</v>
      </c>
    </row>
    <row r="982" spans="8:10">
      <c r="H982" t="e">
        <v>#N/A</v>
      </c>
      <c r="J982" t="e">
        <v>#N/A</v>
      </c>
    </row>
    <row r="983" spans="8:10">
      <c r="H983" t="e">
        <v>#N/A</v>
      </c>
      <c r="J983" t="e">
        <v>#N/A</v>
      </c>
    </row>
    <row r="984" spans="8:10">
      <c r="H984" t="e">
        <v>#N/A</v>
      </c>
      <c r="J984" t="e">
        <v>#N/A</v>
      </c>
    </row>
    <row r="985" spans="8:10">
      <c r="H985" t="e">
        <v>#N/A</v>
      </c>
      <c r="J985" t="e">
        <v>#N/A</v>
      </c>
    </row>
    <row r="986" spans="8:10">
      <c r="H986" t="e">
        <v>#N/A</v>
      </c>
      <c r="J986" t="e">
        <v>#N/A</v>
      </c>
    </row>
    <row r="987" spans="8:10">
      <c r="H987" t="e">
        <v>#N/A</v>
      </c>
      <c r="J987" t="e">
        <v>#N/A</v>
      </c>
    </row>
    <row r="988" spans="8:10">
      <c r="H988" t="e">
        <v>#N/A</v>
      </c>
      <c r="J988" t="e">
        <v>#N/A</v>
      </c>
    </row>
    <row r="989" spans="8:10">
      <c r="H989" t="e">
        <v>#N/A</v>
      </c>
      <c r="J989" t="e">
        <v>#N/A</v>
      </c>
    </row>
    <row r="990" spans="8:10">
      <c r="H990" t="e">
        <v>#N/A</v>
      </c>
      <c r="J990" t="e">
        <v>#N/A</v>
      </c>
    </row>
    <row r="991" spans="8:10">
      <c r="H991" t="e">
        <v>#N/A</v>
      </c>
      <c r="J991" t="e">
        <v>#N/A</v>
      </c>
    </row>
    <row r="992" spans="8:10">
      <c r="H992" t="e">
        <v>#N/A</v>
      </c>
      <c r="J992" t="e">
        <v>#N/A</v>
      </c>
    </row>
    <row r="993" spans="8:10">
      <c r="H993" t="e">
        <v>#N/A</v>
      </c>
      <c r="J993" t="e">
        <v>#N/A</v>
      </c>
    </row>
    <row r="994" spans="8:10">
      <c r="H994" t="e">
        <v>#N/A</v>
      </c>
      <c r="J994" t="e">
        <v>#N/A</v>
      </c>
    </row>
    <row r="995" spans="8:10">
      <c r="H995" t="e">
        <v>#N/A</v>
      </c>
      <c r="J995" t="e">
        <v>#N/A</v>
      </c>
    </row>
    <row r="996" spans="8:10">
      <c r="H996" t="e">
        <v>#N/A</v>
      </c>
      <c r="J996" t="e">
        <v>#N/A</v>
      </c>
    </row>
    <row r="997" spans="8:10">
      <c r="H997" t="e">
        <v>#N/A</v>
      </c>
      <c r="J997" t="e">
        <v>#N/A</v>
      </c>
    </row>
    <row r="998" spans="8:10">
      <c r="H998" t="e">
        <v>#N/A</v>
      </c>
      <c r="J998" t="e">
        <v>#N/A</v>
      </c>
    </row>
    <row r="999" spans="8:10">
      <c r="H999" t="e">
        <v>#N/A</v>
      </c>
      <c r="J999" t="e">
        <v>#N/A</v>
      </c>
    </row>
    <row r="1000" spans="8:10">
      <c r="H1000" t="e">
        <v>#N/A</v>
      </c>
      <c r="J1000" t="e">
        <v>#N/A</v>
      </c>
    </row>
    <row r="1001" spans="8:10">
      <c r="H1001" t="e">
        <v>#N/A</v>
      </c>
      <c r="J1001" t="e">
        <v>#N/A</v>
      </c>
    </row>
    <row r="1002" spans="8:10">
      <c r="H1002" t="e">
        <v>#N/A</v>
      </c>
      <c r="J1002" t="e">
        <v>#N/A</v>
      </c>
    </row>
    <row r="1003" spans="8:10">
      <c r="H1003" t="e">
        <v>#N/A</v>
      </c>
      <c r="J1003" t="e">
        <v>#N/A</v>
      </c>
    </row>
    <row r="1004" spans="8:10">
      <c r="H1004" t="e">
        <v>#N/A</v>
      </c>
      <c r="J1004" t="e">
        <v>#N/A</v>
      </c>
    </row>
    <row r="1005" spans="8:10">
      <c r="H1005" t="e">
        <v>#N/A</v>
      </c>
      <c r="J1005" t="e">
        <v>#N/A</v>
      </c>
    </row>
    <row r="1006" spans="8:10">
      <c r="H1006" t="e">
        <v>#N/A</v>
      </c>
      <c r="J1006" t="e">
        <v>#N/A</v>
      </c>
    </row>
    <row r="1007" spans="8:10">
      <c r="H1007" t="e">
        <v>#N/A</v>
      </c>
      <c r="J1007" t="e">
        <v>#N/A</v>
      </c>
    </row>
    <row r="1008" spans="8:10">
      <c r="H1008" t="e">
        <v>#N/A</v>
      </c>
      <c r="J1008" t="e">
        <v>#N/A</v>
      </c>
    </row>
    <row r="1009" spans="8:10">
      <c r="H1009" t="e">
        <v>#N/A</v>
      </c>
      <c r="J1009" t="e">
        <v>#N/A</v>
      </c>
    </row>
    <row r="1010" spans="8:10">
      <c r="H1010" t="e">
        <v>#N/A</v>
      </c>
      <c r="J1010" t="e">
        <v>#N/A</v>
      </c>
    </row>
    <row r="1011" spans="8:10">
      <c r="H1011" t="e">
        <v>#N/A</v>
      </c>
      <c r="J1011" t="e">
        <v>#N/A</v>
      </c>
    </row>
    <row r="1012" spans="8:10">
      <c r="H1012" t="e">
        <v>#N/A</v>
      </c>
      <c r="J1012" t="e">
        <v>#N/A</v>
      </c>
    </row>
    <row r="1013" spans="8:10">
      <c r="H1013" t="e">
        <v>#N/A</v>
      </c>
      <c r="J1013" t="e">
        <v>#N/A</v>
      </c>
    </row>
    <row r="1014" spans="8:10">
      <c r="H1014" t="e">
        <v>#N/A</v>
      </c>
      <c r="J1014" t="e">
        <v>#N/A</v>
      </c>
    </row>
    <row r="1015" spans="8:10">
      <c r="H1015" t="e">
        <v>#N/A</v>
      </c>
      <c r="J1015" t="e">
        <v>#N/A</v>
      </c>
    </row>
    <row r="1016" spans="8:10">
      <c r="H1016" t="e">
        <v>#N/A</v>
      </c>
      <c r="J1016" t="e">
        <v>#N/A</v>
      </c>
    </row>
    <row r="1017" spans="8:10">
      <c r="H1017" t="e">
        <v>#N/A</v>
      </c>
      <c r="J1017" t="e">
        <v>#N/A</v>
      </c>
    </row>
    <row r="1018" spans="8:10">
      <c r="H1018" t="e">
        <v>#N/A</v>
      </c>
      <c r="J1018" t="e">
        <v>#N/A</v>
      </c>
    </row>
    <row r="1019" spans="8:10">
      <c r="H1019" t="e">
        <v>#N/A</v>
      </c>
      <c r="J1019" t="e">
        <v>#N/A</v>
      </c>
    </row>
    <row r="1020" spans="8:10">
      <c r="H1020" t="e">
        <v>#N/A</v>
      </c>
      <c r="J1020" t="e">
        <v>#N/A</v>
      </c>
    </row>
    <row r="1021" spans="8:10">
      <c r="H1021" t="e">
        <v>#N/A</v>
      </c>
      <c r="J1021" t="e">
        <v>#N/A</v>
      </c>
    </row>
    <row r="1022" spans="8:10">
      <c r="H1022" t="e">
        <v>#N/A</v>
      </c>
      <c r="J1022" t="e">
        <v>#N/A</v>
      </c>
    </row>
    <row r="1023" spans="8:10">
      <c r="H1023" t="e">
        <v>#N/A</v>
      </c>
      <c r="J1023" t="e">
        <v>#N/A</v>
      </c>
    </row>
    <row r="1024" spans="8:10">
      <c r="H1024" t="e">
        <v>#N/A</v>
      </c>
      <c r="J1024" t="e">
        <v>#N/A</v>
      </c>
    </row>
    <row r="1025" spans="8:10">
      <c r="H1025" t="e">
        <v>#N/A</v>
      </c>
      <c r="J1025" t="e">
        <v>#N/A</v>
      </c>
    </row>
    <row r="1026" spans="8:10">
      <c r="H1026" t="e">
        <v>#N/A</v>
      </c>
      <c r="J1026" t="e">
        <v>#N/A</v>
      </c>
    </row>
    <row r="1027" spans="8:10">
      <c r="H1027" t="e">
        <v>#N/A</v>
      </c>
      <c r="J1027" t="e">
        <v>#N/A</v>
      </c>
    </row>
    <row r="1028" spans="8:10">
      <c r="H1028" t="e">
        <v>#N/A</v>
      </c>
      <c r="J1028" t="e">
        <v>#N/A</v>
      </c>
    </row>
    <row r="1029" spans="8:10">
      <c r="H1029" t="e">
        <v>#N/A</v>
      </c>
      <c r="J1029" t="e">
        <v>#N/A</v>
      </c>
    </row>
    <row r="1030" spans="8:10">
      <c r="H1030" t="e">
        <v>#N/A</v>
      </c>
      <c r="J1030" t="e">
        <v>#N/A</v>
      </c>
    </row>
    <row r="1031" spans="8:10">
      <c r="H1031" t="e">
        <v>#N/A</v>
      </c>
      <c r="J1031" t="e">
        <v>#N/A</v>
      </c>
    </row>
    <row r="1032" spans="8:10">
      <c r="H1032" t="e">
        <v>#N/A</v>
      </c>
      <c r="J1032" t="e">
        <v>#N/A</v>
      </c>
    </row>
    <row r="1033" spans="8:10">
      <c r="H1033" t="e">
        <v>#N/A</v>
      </c>
      <c r="J1033" t="e">
        <v>#N/A</v>
      </c>
    </row>
    <row r="1034" spans="8:10">
      <c r="H1034" t="e">
        <v>#N/A</v>
      </c>
      <c r="J1034" t="e">
        <v>#N/A</v>
      </c>
    </row>
    <row r="1035" spans="8:10">
      <c r="H1035" t="e">
        <v>#N/A</v>
      </c>
      <c r="J1035" t="e">
        <v>#N/A</v>
      </c>
    </row>
    <row r="1036" spans="8:10">
      <c r="H1036" t="e">
        <v>#N/A</v>
      </c>
      <c r="J1036" t="e">
        <v>#N/A</v>
      </c>
    </row>
    <row r="1037" spans="8:10">
      <c r="H1037" t="e">
        <v>#N/A</v>
      </c>
      <c r="J1037" t="e">
        <v>#N/A</v>
      </c>
    </row>
    <row r="1038" spans="8:10">
      <c r="H1038" t="e">
        <v>#N/A</v>
      </c>
      <c r="J1038" t="e">
        <v>#N/A</v>
      </c>
    </row>
    <row r="1039" spans="8:10">
      <c r="H1039" t="e">
        <v>#N/A</v>
      </c>
      <c r="J1039" t="e">
        <v>#N/A</v>
      </c>
    </row>
    <row r="1040" spans="8:10">
      <c r="H1040" t="e">
        <v>#N/A</v>
      </c>
      <c r="J1040" t="e">
        <v>#N/A</v>
      </c>
    </row>
    <row r="1041" spans="8:10">
      <c r="H1041" t="e">
        <v>#N/A</v>
      </c>
      <c r="J1041" t="e">
        <v>#N/A</v>
      </c>
    </row>
    <row r="1042" spans="8:10">
      <c r="H1042" t="e">
        <v>#N/A</v>
      </c>
      <c r="J1042" t="e">
        <v>#N/A</v>
      </c>
    </row>
    <row r="1043" spans="8:10">
      <c r="H1043" t="e">
        <v>#N/A</v>
      </c>
      <c r="J1043" t="e">
        <v>#N/A</v>
      </c>
    </row>
    <row r="1044" spans="8:10">
      <c r="H1044" t="e">
        <v>#N/A</v>
      </c>
      <c r="J1044" t="e">
        <v>#N/A</v>
      </c>
    </row>
    <row r="1045" spans="8:10">
      <c r="H1045" t="e">
        <v>#N/A</v>
      </c>
      <c r="J1045" t="e">
        <v>#N/A</v>
      </c>
    </row>
    <row r="1046" spans="8:10">
      <c r="H1046" t="e">
        <v>#N/A</v>
      </c>
      <c r="J1046" t="e">
        <v>#N/A</v>
      </c>
    </row>
    <row r="1047" spans="8:10">
      <c r="H1047" t="e">
        <v>#N/A</v>
      </c>
      <c r="J1047" t="e">
        <v>#N/A</v>
      </c>
    </row>
    <row r="1048" spans="8:10">
      <c r="H1048" t="e">
        <v>#N/A</v>
      </c>
      <c r="J1048" t="e">
        <v>#N/A</v>
      </c>
    </row>
    <row r="1049" spans="8:10">
      <c r="H1049" t="e">
        <v>#N/A</v>
      </c>
      <c r="J1049" t="e">
        <v>#N/A</v>
      </c>
    </row>
    <row r="1050" spans="8:10">
      <c r="H1050" t="e">
        <v>#N/A</v>
      </c>
      <c r="J1050" t="e">
        <v>#N/A</v>
      </c>
    </row>
    <row r="1051" spans="8:10">
      <c r="H1051" t="e">
        <v>#N/A</v>
      </c>
      <c r="J1051" t="e">
        <v>#N/A</v>
      </c>
    </row>
    <row r="1052" spans="8:10">
      <c r="H1052" t="e">
        <v>#N/A</v>
      </c>
      <c r="J1052" t="e">
        <v>#N/A</v>
      </c>
    </row>
    <row r="1053" spans="8:10">
      <c r="H1053" t="e">
        <v>#N/A</v>
      </c>
      <c r="J1053" t="e">
        <v>#N/A</v>
      </c>
    </row>
    <row r="1054" spans="8:10">
      <c r="H1054" t="e">
        <v>#N/A</v>
      </c>
      <c r="J1054" t="e">
        <v>#N/A</v>
      </c>
    </row>
    <row r="1055" spans="8:10">
      <c r="H1055" t="e">
        <v>#N/A</v>
      </c>
      <c r="J1055" t="e">
        <v>#N/A</v>
      </c>
    </row>
    <row r="1056" spans="8:10">
      <c r="H1056" t="e">
        <v>#N/A</v>
      </c>
      <c r="J1056" t="e">
        <v>#N/A</v>
      </c>
    </row>
    <row r="1057" spans="8:10">
      <c r="H1057" t="e">
        <v>#N/A</v>
      </c>
      <c r="J1057" t="e">
        <v>#N/A</v>
      </c>
    </row>
    <row r="1058" spans="8:10">
      <c r="H1058" t="e">
        <v>#N/A</v>
      </c>
      <c r="J1058" t="e">
        <v>#N/A</v>
      </c>
    </row>
    <row r="1059" spans="8:10">
      <c r="H1059" t="e">
        <v>#N/A</v>
      </c>
      <c r="J1059" t="e">
        <v>#N/A</v>
      </c>
    </row>
    <row r="1060" spans="8:10">
      <c r="H1060" t="e">
        <v>#N/A</v>
      </c>
      <c r="J1060" t="e">
        <v>#N/A</v>
      </c>
    </row>
    <row r="1061" spans="8:10">
      <c r="H1061" t="e">
        <v>#N/A</v>
      </c>
      <c r="J1061" t="e">
        <v>#N/A</v>
      </c>
    </row>
    <row r="1062" spans="8:10">
      <c r="H1062" t="e">
        <v>#N/A</v>
      </c>
      <c r="J1062" t="e">
        <v>#N/A</v>
      </c>
    </row>
    <row r="1063" spans="8:10">
      <c r="H1063" t="e">
        <v>#N/A</v>
      </c>
      <c r="J1063" t="e">
        <v>#N/A</v>
      </c>
    </row>
    <row r="1064" spans="8:10">
      <c r="H1064" t="e">
        <v>#N/A</v>
      </c>
      <c r="J1064" t="e">
        <v>#N/A</v>
      </c>
    </row>
    <row r="1065" spans="8:10">
      <c r="H1065" t="e">
        <v>#N/A</v>
      </c>
      <c r="J1065" t="e">
        <v>#N/A</v>
      </c>
    </row>
    <row r="1066" spans="8:10">
      <c r="H1066" t="e">
        <v>#N/A</v>
      </c>
      <c r="J1066" t="e">
        <v>#N/A</v>
      </c>
    </row>
    <row r="1067" spans="8:10">
      <c r="H1067" t="e">
        <v>#N/A</v>
      </c>
      <c r="J1067" t="e">
        <v>#N/A</v>
      </c>
    </row>
    <row r="1068" spans="8:10">
      <c r="H1068" t="e">
        <v>#N/A</v>
      </c>
      <c r="J1068" t="e">
        <v>#N/A</v>
      </c>
    </row>
    <row r="1069" spans="8:10">
      <c r="H1069" t="e">
        <v>#N/A</v>
      </c>
      <c r="J1069" t="e">
        <v>#N/A</v>
      </c>
    </row>
    <row r="1070" spans="8:10">
      <c r="H1070" t="e">
        <v>#N/A</v>
      </c>
      <c r="J1070" t="e">
        <v>#N/A</v>
      </c>
    </row>
    <row r="1071" spans="8:10">
      <c r="H1071" t="e">
        <v>#N/A</v>
      </c>
      <c r="J1071" t="e">
        <v>#N/A</v>
      </c>
    </row>
    <row r="1072" spans="8:10">
      <c r="H1072" t="e">
        <v>#N/A</v>
      </c>
      <c r="J1072" t="e">
        <v>#N/A</v>
      </c>
    </row>
    <row r="1073" spans="8:10">
      <c r="H1073" t="e">
        <v>#N/A</v>
      </c>
      <c r="J1073" t="e">
        <v>#N/A</v>
      </c>
    </row>
    <row r="1074" spans="8:10">
      <c r="H1074" t="e">
        <v>#N/A</v>
      </c>
      <c r="J1074" t="e">
        <v>#N/A</v>
      </c>
    </row>
    <row r="1075" spans="8:10">
      <c r="H1075" t="e">
        <v>#N/A</v>
      </c>
      <c r="J1075" t="e">
        <v>#N/A</v>
      </c>
    </row>
    <row r="1076" spans="8:10">
      <c r="H1076" t="e">
        <v>#N/A</v>
      </c>
      <c r="J1076" t="e">
        <v>#N/A</v>
      </c>
    </row>
    <row r="1077" spans="8:10">
      <c r="H1077" t="e">
        <v>#N/A</v>
      </c>
      <c r="J1077" t="e">
        <v>#N/A</v>
      </c>
    </row>
    <row r="1078" spans="8:10">
      <c r="H1078" t="e">
        <v>#N/A</v>
      </c>
      <c r="J1078" t="e">
        <v>#N/A</v>
      </c>
    </row>
    <row r="1079" spans="8:10">
      <c r="H1079" t="e">
        <v>#N/A</v>
      </c>
      <c r="J1079" t="e">
        <v>#N/A</v>
      </c>
    </row>
    <row r="1080" spans="8:10">
      <c r="H1080" t="e">
        <v>#N/A</v>
      </c>
      <c r="J1080" t="e">
        <v>#N/A</v>
      </c>
    </row>
    <row r="1081" spans="8:10">
      <c r="H1081" t="e">
        <v>#N/A</v>
      </c>
      <c r="J1081" t="e">
        <v>#N/A</v>
      </c>
    </row>
    <row r="1082" spans="8:10">
      <c r="H1082" t="e">
        <v>#N/A</v>
      </c>
      <c r="J1082" t="e">
        <v>#N/A</v>
      </c>
    </row>
    <row r="1083" spans="8:10">
      <c r="H1083" t="e">
        <v>#N/A</v>
      </c>
      <c r="J1083" t="e">
        <v>#N/A</v>
      </c>
    </row>
    <row r="1084" spans="8:10">
      <c r="H1084" t="e">
        <v>#N/A</v>
      </c>
      <c r="J1084" t="e">
        <v>#N/A</v>
      </c>
    </row>
    <row r="1085" spans="8:10">
      <c r="H1085" t="e">
        <v>#N/A</v>
      </c>
      <c r="J1085" t="e">
        <v>#N/A</v>
      </c>
    </row>
    <row r="1086" spans="8:10">
      <c r="H1086" t="e">
        <v>#N/A</v>
      </c>
      <c r="J1086" t="e">
        <v>#N/A</v>
      </c>
    </row>
    <row r="1087" spans="8:10">
      <c r="H1087" t="e">
        <v>#N/A</v>
      </c>
      <c r="J1087" t="e">
        <v>#N/A</v>
      </c>
    </row>
    <row r="1088" spans="8:10">
      <c r="H1088" t="e">
        <v>#N/A</v>
      </c>
      <c r="J1088" t="e">
        <v>#N/A</v>
      </c>
    </row>
    <row r="1089" spans="8:10">
      <c r="H1089" t="e">
        <v>#N/A</v>
      </c>
      <c r="J1089" t="e">
        <v>#N/A</v>
      </c>
    </row>
    <row r="1090" spans="8:10">
      <c r="H1090" t="e">
        <v>#N/A</v>
      </c>
      <c r="J1090" t="e">
        <v>#N/A</v>
      </c>
    </row>
    <row r="1091" spans="8:10">
      <c r="H1091" t="e">
        <v>#N/A</v>
      </c>
      <c r="J1091" t="e">
        <v>#N/A</v>
      </c>
    </row>
    <row r="1092" spans="8:10">
      <c r="H1092" t="e">
        <v>#N/A</v>
      </c>
      <c r="J1092" t="e">
        <v>#N/A</v>
      </c>
    </row>
    <row r="1093" spans="8:10">
      <c r="H1093" t="e">
        <v>#N/A</v>
      </c>
      <c r="J1093" t="e">
        <v>#N/A</v>
      </c>
    </row>
    <row r="1094" spans="8:10">
      <c r="H1094" t="e">
        <v>#N/A</v>
      </c>
      <c r="J1094" t="e">
        <v>#N/A</v>
      </c>
    </row>
    <row r="1095" spans="8:10">
      <c r="H1095" t="e">
        <v>#N/A</v>
      </c>
      <c r="J1095" t="e">
        <v>#N/A</v>
      </c>
    </row>
    <row r="1096" spans="8:10">
      <c r="H1096" t="e">
        <v>#N/A</v>
      </c>
      <c r="J1096" t="e">
        <v>#N/A</v>
      </c>
    </row>
    <row r="1097" spans="8:10">
      <c r="H1097" t="e">
        <v>#N/A</v>
      </c>
      <c r="J1097" t="e">
        <v>#N/A</v>
      </c>
    </row>
    <row r="1098" spans="8:10">
      <c r="H1098" t="e">
        <v>#N/A</v>
      </c>
      <c r="J1098" t="e">
        <v>#N/A</v>
      </c>
    </row>
    <row r="1099" spans="8:10">
      <c r="H1099" t="e">
        <v>#N/A</v>
      </c>
      <c r="J1099" t="e">
        <v>#N/A</v>
      </c>
    </row>
    <row r="1100" spans="8:10">
      <c r="H1100" t="e">
        <v>#N/A</v>
      </c>
      <c r="J1100" t="e">
        <v>#N/A</v>
      </c>
    </row>
    <row r="1101" spans="8:10">
      <c r="H1101" t="e">
        <v>#N/A</v>
      </c>
      <c r="J1101" t="e">
        <v>#N/A</v>
      </c>
    </row>
    <row r="1102" spans="8:10">
      <c r="H1102" t="e">
        <v>#N/A</v>
      </c>
      <c r="J1102" t="e">
        <v>#N/A</v>
      </c>
    </row>
    <row r="1103" spans="8:10">
      <c r="H1103" t="e">
        <v>#N/A</v>
      </c>
      <c r="J1103" t="e">
        <v>#N/A</v>
      </c>
    </row>
    <row r="1104" spans="8:10">
      <c r="H1104" t="e">
        <v>#N/A</v>
      </c>
      <c r="J1104" t="e">
        <v>#N/A</v>
      </c>
    </row>
    <row r="1105" spans="8:10">
      <c r="H1105" t="e">
        <v>#N/A</v>
      </c>
      <c r="J1105" t="e">
        <v>#N/A</v>
      </c>
    </row>
    <row r="1106" spans="8:10">
      <c r="H1106" t="e">
        <v>#N/A</v>
      </c>
      <c r="J1106" t="e">
        <v>#N/A</v>
      </c>
    </row>
    <row r="1107" spans="8:10">
      <c r="H1107" t="e">
        <v>#N/A</v>
      </c>
      <c r="J1107" t="e">
        <v>#N/A</v>
      </c>
    </row>
    <row r="1108" spans="8:10">
      <c r="H1108" t="e">
        <v>#N/A</v>
      </c>
      <c r="J1108" t="e">
        <v>#N/A</v>
      </c>
    </row>
    <row r="1109" spans="8:10">
      <c r="H1109" t="e">
        <v>#N/A</v>
      </c>
      <c r="J1109" t="e">
        <v>#N/A</v>
      </c>
    </row>
    <row r="1110" spans="8:10">
      <c r="H1110" t="e">
        <v>#N/A</v>
      </c>
      <c r="J1110" t="e">
        <v>#N/A</v>
      </c>
    </row>
    <row r="1111" spans="8:10">
      <c r="H1111" t="e">
        <v>#N/A</v>
      </c>
      <c r="J1111" t="e">
        <v>#N/A</v>
      </c>
    </row>
    <row r="1112" spans="8:10">
      <c r="H1112" t="e">
        <v>#N/A</v>
      </c>
      <c r="J1112" t="e">
        <v>#N/A</v>
      </c>
    </row>
    <row r="1113" spans="8:10">
      <c r="H1113" t="e">
        <v>#N/A</v>
      </c>
      <c r="J1113" t="e">
        <v>#N/A</v>
      </c>
    </row>
    <row r="1114" spans="8:10">
      <c r="H1114" t="e">
        <v>#N/A</v>
      </c>
      <c r="J1114" t="e">
        <v>#N/A</v>
      </c>
    </row>
    <row r="1115" spans="8:10">
      <c r="H1115" t="e">
        <v>#N/A</v>
      </c>
      <c r="J1115" t="e">
        <v>#N/A</v>
      </c>
    </row>
    <row r="1116" spans="8:10">
      <c r="H1116" t="e">
        <v>#N/A</v>
      </c>
      <c r="J1116" t="e">
        <v>#N/A</v>
      </c>
    </row>
    <row r="1117" spans="8:10">
      <c r="H1117" t="e">
        <v>#N/A</v>
      </c>
      <c r="J1117" t="e">
        <v>#N/A</v>
      </c>
    </row>
    <row r="1118" spans="8:10">
      <c r="H1118" t="e">
        <v>#N/A</v>
      </c>
      <c r="J1118" t="e">
        <v>#N/A</v>
      </c>
    </row>
    <row r="1119" spans="8:10">
      <c r="H1119" t="e">
        <v>#N/A</v>
      </c>
      <c r="J1119" t="e">
        <v>#N/A</v>
      </c>
    </row>
    <row r="1120" spans="8:10">
      <c r="H1120" t="e">
        <v>#N/A</v>
      </c>
      <c r="J1120" t="e">
        <v>#N/A</v>
      </c>
    </row>
    <row r="1121" spans="8:10">
      <c r="H1121" t="e">
        <v>#N/A</v>
      </c>
      <c r="J1121" t="e">
        <v>#N/A</v>
      </c>
    </row>
    <row r="1122" spans="8:10">
      <c r="H1122" t="e">
        <v>#N/A</v>
      </c>
      <c r="J1122" t="e">
        <v>#N/A</v>
      </c>
    </row>
    <row r="1123" spans="8:10">
      <c r="H1123" t="e">
        <v>#N/A</v>
      </c>
      <c r="J1123" t="e">
        <v>#N/A</v>
      </c>
    </row>
    <row r="1124" spans="8:10">
      <c r="H1124" t="e">
        <v>#N/A</v>
      </c>
      <c r="J1124" t="e">
        <v>#N/A</v>
      </c>
    </row>
    <row r="1125" spans="8:10">
      <c r="H1125" t="e">
        <v>#N/A</v>
      </c>
      <c r="J1125" t="e">
        <v>#N/A</v>
      </c>
    </row>
    <row r="1126" spans="8:10">
      <c r="H1126" t="e">
        <v>#N/A</v>
      </c>
      <c r="J1126" t="e">
        <v>#N/A</v>
      </c>
    </row>
    <row r="1127" spans="8:10">
      <c r="H1127" t="e">
        <v>#N/A</v>
      </c>
      <c r="J1127" t="e">
        <v>#N/A</v>
      </c>
    </row>
    <row r="1128" spans="8:10">
      <c r="H1128" t="e">
        <v>#N/A</v>
      </c>
      <c r="J1128" t="e">
        <v>#N/A</v>
      </c>
    </row>
    <row r="1129" spans="8:10">
      <c r="H1129" t="e">
        <v>#N/A</v>
      </c>
      <c r="J1129" t="e">
        <v>#N/A</v>
      </c>
    </row>
    <row r="1130" spans="8:10">
      <c r="H1130" t="e">
        <v>#N/A</v>
      </c>
      <c r="J1130" t="e">
        <v>#N/A</v>
      </c>
    </row>
    <row r="1131" spans="8:10">
      <c r="H1131" t="e">
        <v>#N/A</v>
      </c>
      <c r="J1131" t="e">
        <v>#N/A</v>
      </c>
    </row>
    <row r="1132" spans="8:10">
      <c r="H1132" t="e">
        <v>#N/A</v>
      </c>
      <c r="J1132" t="e">
        <v>#N/A</v>
      </c>
    </row>
    <row r="1133" spans="8:10">
      <c r="H1133" t="e">
        <v>#N/A</v>
      </c>
      <c r="J1133" t="e">
        <v>#N/A</v>
      </c>
    </row>
    <row r="1134" spans="8:10">
      <c r="H1134" t="e">
        <v>#N/A</v>
      </c>
      <c r="J1134" t="e">
        <v>#N/A</v>
      </c>
    </row>
    <row r="1135" spans="8:10">
      <c r="H1135" t="e">
        <v>#N/A</v>
      </c>
      <c r="J1135" t="e">
        <v>#N/A</v>
      </c>
    </row>
    <row r="1136" spans="8:10">
      <c r="H1136" t="e">
        <v>#N/A</v>
      </c>
      <c r="J1136" t="e">
        <v>#N/A</v>
      </c>
    </row>
    <row r="1137" spans="8:10">
      <c r="H1137" t="e">
        <v>#N/A</v>
      </c>
      <c r="J1137" t="e">
        <v>#N/A</v>
      </c>
    </row>
    <row r="1138" spans="8:10">
      <c r="H1138" t="e">
        <v>#N/A</v>
      </c>
      <c r="J1138" t="e">
        <v>#N/A</v>
      </c>
    </row>
    <row r="1139" spans="8:10">
      <c r="H1139" t="e">
        <v>#N/A</v>
      </c>
      <c r="J1139" t="e">
        <v>#N/A</v>
      </c>
    </row>
    <row r="1140" spans="8:10">
      <c r="H1140" t="e">
        <v>#N/A</v>
      </c>
      <c r="J1140" t="e">
        <v>#N/A</v>
      </c>
    </row>
    <row r="1141" spans="8:10">
      <c r="H1141" t="e">
        <v>#N/A</v>
      </c>
      <c r="J1141" t="e">
        <v>#N/A</v>
      </c>
    </row>
    <row r="1142" spans="8:10">
      <c r="H1142" t="e">
        <v>#N/A</v>
      </c>
      <c r="J1142" t="e">
        <v>#N/A</v>
      </c>
    </row>
    <row r="1143" spans="8:10">
      <c r="H1143" t="e">
        <v>#N/A</v>
      </c>
      <c r="J1143" t="e">
        <v>#N/A</v>
      </c>
    </row>
    <row r="1144" spans="8:10">
      <c r="H1144" t="e">
        <v>#N/A</v>
      </c>
      <c r="J1144" t="e">
        <v>#N/A</v>
      </c>
    </row>
    <row r="1145" spans="8:10">
      <c r="H1145" t="e">
        <v>#N/A</v>
      </c>
      <c r="J1145" t="e">
        <v>#N/A</v>
      </c>
    </row>
    <row r="1146" spans="8:10">
      <c r="H1146" t="e">
        <v>#N/A</v>
      </c>
      <c r="J1146" t="e">
        <v>#N/A</v>
      </c>
    </row>
    <row r="1147" spans="8:10">
      <c r="H1147" t="e">
        <v>#N/A</v>
      </c>
      <c r="J1147" t="e">
        <v>#N/A</v>
      </c>
    </row>
    <row r="1148" spans="8:10">
      <c r="H1148" t="e">
        <v>#N/A</v>
      </c>
      <c r="J1148" t="e">
        <v>#N/A</v>
      </c>
    </row>
    <row r="1149" spans="8:10">
      <c r="H1149" t="e">
        <v>#N/A</v>
      </c>
      <c r="J1149" t="e">
        <v>#N/A</v>
      </c>
    </row>
    <row r="1150" spans="8:10">
      <c r="H1150" t="e">
        <v>#N/A</v>
      </c>
      <c r="J1150" t="e">
        <v>#N/A</v>
      </c>
    </row>
    <row r="1151" spans="8:10">
      <c r="H1151" t="e">
        <v>#N/A</v>
      </c>
      <c r="J1151" t="e">
        <v>#N/A</v>
      </c>
    </row>
    <row r="1152" spans="8:10">
      <c r="H1152" t="e">
        <v>#N/A</v>
      </c>
      <c r="J1152" t="e">
        <v>#N/A</v>
      </c>
    </row>
    <row r="1153" spans="8:10">
      <c r="H1153" t="e">
        <v>#N/A</v>
      </c>
      <c r="J1153" t="e">
        <v>#N/A</v>
      </c>
    </row>
    <row r="1154" spans="8:10">
      <c r="H1154" t="e">
        <v>#N/A</v>
      </c>
      <c r="J1154" t="e">
        <v>#N/A</v>
      </c>
    </row>
    <row r="1155" spans="8:10">
      <c r="H1155" t="e">
        <v>#N/A</v>
      </c>
      <c r="J1155" t="e">
        <v>#N/A</v>
      </c>
    </row>
    <row r="1156" spans="8:10">
      <c r="H1156" t="e">
        <v>#N/A</v>
      </c>
      <c r="J1156" t="e">
        <v>#N/A</v>
      </c>
    </row>
    <row r="1157" spans="8:10">
      <c r="H1157" t="e">
        <v>#N/A</v>
      </c>
      <c r="J1157" t="e">
        <v>#N/A</v>
      </c>
    </row>
    <row r="1158" spans="8:10">
      <c r="H1158" t="e">
        <v>#N/A</v>
      </c>
      <c r="J1158" t="e">
        <v>#N/A</v>
      </c>
    </row>
    <row r="1159" spans="8:10">
      <c r="H1159" t="e">
        <v>#N/A</v>
      </c>
      <c r="J1159" t="e">
        <v>#N/A</v>
      </c>
    </row>
    <row r="1160" spans="8:10">
      <c r="H1160" t="e">
        <v>#N/A</v>
      </c>
      <c r="J1160" t="e">
        <v>#N/A</v>
      </c>
    </row>
    <row r="1161" spans="8:10">
      <c r="H1161" t="e">
        <v>#N/A</v>
      </c>
      <c r="J1161" t="e">
        <v>#N/A</v>
      </c>
    </row>
    <row r="1162" spans="8:10">
      <c r="H1162" t="e">
        <v>#N/A</v>
      </c>
      <c r="J1162" t="e">
        <v>#N/A</v>
      </c>
    </row>
    <row r="1163" spans="8:10">
      <c r="H1163" t="e">
        <v>#N/A</v>
      </c>
      <c r="J1163" t="e">
        <v>#N/A</v>
      </c>
    </row>
    <row r="1164" spans="8:10">
      <c r="H1164" t="e">
        <v>#N/A</v>
      </c>
      <c r="J1164" t="e">
        <v>#N/A</v>
      </c>
    </row>
    <row r="1165" spans="8:10">
      <c r="H1165" t="e">
        <v>#N/A</v>
      </c>
      <c r="J1165" t="e">
        <v>#N/A</v>
      </c>
    </row>
    <row r="1166" spans="8:10">
      <c r="H1166" t="e">
        <v>#N/A</v>
      </c>
      <c r="J1166" t="e">
        <v>#N/A</v>
      </c>
    </row>
    <row r="1167" spans="8:10">
      <c r="H1167" t="e">
        <v>#N/A</v>
      </c>
      <c r="J1167" t="e">
        <v>#N/A</v>
      </c>
    </row>
    <row r="1168" spans="8:10">
      <c r="H1168" t="e">
        <v>#N/A</v>
      </c>
      <c r="J1168" t="e">
        <v>#N/A</v>
      </c>
    </row>
    <row r="1169" spans="8:10">
      <c r="H1169" t="e">
        <v>#N/A</v>
      </c>
      <c r="J1169" t="e">
        <v>#N/A</v>
      </c>
    </row>
    <row r="1170" spans="8:10">
      <c r="H1170" t="e">
        <v>#N/A</v>
      </c>
      <c r="J1170" t="e">
        <v>#N/A</v>
      </c>
    </row>
    <row r="1171" spans="8:10">
      <c r="H1171" t="e">
        <v>#N/A</v>
      </c>
      <c r="J1171" t="e">
        <v>#N/A</v>
      </c>
    </row>
    <row r="1172" spans="8:10">
      <c r="H1172" t="e">
        <v>#N/A</v>
      </c>
      <c r="J1172" t="e">
        <v>#N/A</v>
      </c>
    </row>
    <row r="1173" spans="8:10">
      <c r="H1173" t="e">
        <v>#N/A</v>
      </c>
      <c r="J1173" t="e">
        <v>#N/A</v>
      </c>
    </row>
    <row r="1174" spans="8:10">
      <c r="H1174" t="e">
        <v>#N/A</v>
      </c>
      <c r="J1174" t="e">
        <v>#N/A</v>
      </c>
    </row>
    <row r="1175" spans="8:10">
      <c r="H1175" t="e">
        <v>#N/A</v>
      </c>
      <c r="J1175" t="e">
        <v>#N/A</v>
      </c>
    </row>
    <row r="1176" spans="8:10">
      <c r="H1176" t="e">
        <v>#N/A</v>
      </c>
      <c r="J1176" t="e">
        <v>#N/A</v>
      </c>
    </row>
    <row r="1177" spans="8:10">
      <c r="H1177" t="e">
        <v>#N/A</v>
      </c>
      <c r="J1177" t="e">
        <v>#N/A</v>
      </c>
    </row>
    <row r="1178" spans="8:10">
      <c r="H1178" t="e">
        <v>#N/A</v>
      </c>
      <c r="J1178" t="e">
        <v>#N/A</v>
      </c>
    </row>
    <row r="1179" spans="8:10">
      <c r="H1179" t="e">
        <v>#N/A</v>
      </c>
      <c r="J1179" t="e">
        <v>#N/A</v>
      </c>
    </row>
    <row r="1180" spans="8:10">
      <c r="H1180" t="e">
        <v>#N/A</v>
      </c>
      <c r="J1180" t="e">
        <v>#N/A</v>
      </c>
    </row>
    <row r="1181" spans="8:10">
      <c r="H1181" t="e">
        <v>#N/A</v>
      </c>
      <c r="J1181" t="e">
        <v>#N/A</v>
      </c>
    </row>
    <row r="1182" spans="8:10">
      <c r="H1182" t="e">
        <v>#N/A</v>
      </c>
      <c r="J1182" t="e">
        <v>#N/A</v>
      </c>
    </row>
    <row r="1183" spans="8:10">
      <c r="H1183" t="e">
        <v>#N/A</v>
      </c>
      <c r="J1183" t="e">
        <v>#N/A</v>
      </c>
    </row>
    <row r="1184" spans="8:10">
      <c r="H1184" t="e">
        <v>#N/A</v>
      </c>
      <c r="J1184" t="e">
        <v>#N/A</v>
      </c>
    </row>
    <row r="1185" spans="8:10">
      <c r="H1185" t="e">
        <v>#N/A</v>
      </c>
      <c r="J1185" t="e">
        <v>#N/A</v>
      </c>
    </row>
    <row r="1186" spans="8:10">
      <c r="H1186" t="e">
        <v>#N/A</v>
      </c>
      <c r="J1186" t="e">
        <v>#N/A</v>
      </c>
    </row>
    <row r="1187" spans="8:10">
      <c r="H1187" t="e">
        <v>#N/A</v>
      </c>
      <c r="J1187" t="e">
        <v>#N/A</v>
      </c>
    </row>
    <row r="1188" spans="8:10">
      <c r="H1188" t="e">
        <v>#N/A</v>
      </c>
      <c r="J1188" t="e">
        <v>#N/A</v>
      </c>
    </row>
    <row r="1189" spans="8:10">
      <c r="H1189" t="e">
        <v>#N/A</v>
      </c>
      <c r="J1189" t="e">
        <v>#N/A</v>
      </c>
    </row>
    <row r="1190" spans="8:10">
      <c r="H1190" t="e">
        <v>#N/A</v>
      </c>
      <c r="J1190" t="e">
        <v>#N/A</v>
      </c>
    </row>
    <row r="1191" spans="8:10">
      <c r="H1191" t="e">
        <v>#N/A</v>
      </c>
      <c r="J1191" t="e">
        <v>#N/A</v>
      </c>
    </row>
    <row r="1192" spans="8:10">
      <c r="H1192" t="e">
        <v>#N/A</v>
      </c>
      <c r="J1192" t="e">
        <v>#N/A</v>
      </c>
    </row>
    <row r="1193" spans="8:10">
      <c r="H1193" t="e">
        <v>#N/A</v>
      </c>
      <c r="J1193" t="e">
        <v>#N/A</v>
      </c>
    </row>
    <row r="1194" spans="8:10">
      <c r="H1194" t="e">
        <v>#N/A</v>
      </c>
      <c r="J1194" t="e">
        <v>#N/A</v>
      </c>
    </row>
    <row r="1195" spans="8:10">
      <c r="H1195" t="e">
        <v>#N/A</v>
      </c>
      <c r="J1195" t="e">
        <v>#N/A</v>
      </c>
    </row>
    <row r="1196" spans="8:10">
      <c r="H1196" t="e">
        <v>#N/A</v>
      </c>
      <c r="J1196" t="e">
        <v>#N/A</v>
      </c>
    </row>
    <row r="1197" spans="8:10">
      <c r="H1197" t="e">
        <v>#N/A</v>
      </c>
      <c r="J1197" t="e">
        <v>#N/A</v>
      </c>
    </row>
    <row r="1198" spans="8:10">
      <c r="H1198" t="e">
        <v>#N/A</v>
      </c>
      <c r="J1198" t="e">
        <v>#N/A</v>
      </c>
    </row>
    <row r="1199" spans="8:10">
      <c r="H1199" t="e">
        <v>#N/A</v>
      </c>
      <c r="J1199" t="e">
        <v>#N/A</v>
      </c>
    </row>
    <row r="1200" spans="8:10">
      <c r="H1200" t="e">
        <v>#N/A</v>
      </c>
      <c r="J1200" t="e">
        <v>#N/A</v>
      </c>
    </row>
    <row r="1201" spans="8:10">
      <c r="H1201" t="e">
        <v>#N/A</v>
      </c>
      <c r="J1201" t="e">
        <v>#N/A</v>
      </c>
    </row>
    <row r="1202" spans="8:10">
      <c r="H1202" t="e">
        <v>#N/A</v>
      </c>
      <c r="J1202" t="e">
        <v>#N/A</v>
      </c>
    </row>
    <row r="1203" spans="8:10">
      <c r="H1203" t="e">
        <v>#N/A</v>
      </c>
      <c r="J1203" t="e">
        <v>#N/A</v>
      </c>
    </row>
    <row r="1204" spans="8:10">
      <c r="H1204" t="e">
        <v>#N/A</v>
      </c>
      <c r="J1204" t="e">
        <v>#N/A</v>
      </c>
    </row>
    <row r="1205" spans="8:10">
      <c r="H1205" t="e">
        <v>#N/A</v>
      </c>
      <c r="J1205" t="e">
        <v>#N/A</v>
      </c>
    </row>
    <row r="1206" spans="8:10">
      <c r="H1206" t="e">
        <v>#N/A</v>
      </c>
      <c r="J1206" t="e">
        <v>#N/A</v>
      </c>
    </row>
    <row r="1207" spans="8:10">
      <c r="H1207" t="e">
        <v>#N/A</v>
      </c>
      <c r="J1207" t="e">
        <v>#N/A</v>
      </c>
    </row>
    <row r="1208" spans="8:10">
      <c r="H1208" t="e">
        <v>#N/A</v>
      </c>
      <c r="J1208" t="e">
        <v>#N/A</v>
      </c>
    </row>
    <row r="1209" spans="8:10">
      <c r="H1209" t="e">
        <v>#N/A</v>
      </c>
      <c r="J1209" t="e">
        <v>#N/A</v>
      </c>
    </row>
    <row r="1210" spans="8:10">
      <c r="H1210" t="e">
        <v>#N/A</v>
      </c>
      <c r="J1210" t="e">
        <v>#N/A</v>
      </c>
    </row>
    <row r="1211" spans="8:10">
      <c r="H1211" t="e">
        <v>#N/A</v>
      </c>
      <c r="J1211" t="e">
        <v>#N/A</v>
      </c>
    </row>
    <row r="1212" spans="8:10">
      <c r="H1212" t="e">
        <v>#N/A</v>
      </c>
      <c r="J1212" t="e">
        <v>#N/A</v>
      </c>
    </row>
    <row r="1213" spans="8:10">
      <c r="H1213" t="e">
        <v>#N/A</v>
      </c>
      <c r="J1213" t="e">
        <v>#N/A</v>
      </c>
    </row>
    <row r="1214" spans="8:10">
      <c r="H1214" t="e">
        <v>#N/A</v>
      </c>
      <c r="J1214" t="e">
        <v>#N/A</v>
      </c>
    </row>
    <row r="1215" spans="8:10">
      <c r="H1215" t="e">
        <v>#N/A</v>
      </c>
      <c r="J1215" t="e">
        <v>#N/A</v>
      </c>
    </row>
    <row r="1216" spans="8:10">
      <c r="H1216" t="e">
        <v>#N/A</v>
      </c>
      <c r="J1216" t="e">
        <v>#N/A</v>
      </c>
    </row>
    <row r="1217" spans="8:10">
      <c r="H1217" t="e">
        <v>#N/A</v>
      </c>
      <c r="J1217" t="e">
        <v>#N/A</v>
      </c>
    </row>
    <row r="1218" spans="8:10">
      <c r="H1218" t="e">
        <v>#N/A</v>
      </c>
      <c r="J1218" t="e">
        <v>#N/A</v>
      </c>
    </row>
    <row r="1219" spans="8:10">
      <c r="H1219" t="e">
        <v>#N/A</v>
      </c>
      <c r="J1219" t="e">
        <v>#N/A</v>
      </c>
    </row>
    <row r="1220" spans="8:10">
      <c r="H1220" t="e">
        <v>#N/A</v>
      </c>
      <c r="J1220" t="e">
        <v>#N/A</v>
      </c>
    </row>
    <row r="1221" spans="8:10">
      <c r="H1221" t="e">
        <v>#N/A</v>
      </c>
      <c r="J1221" t="e">
        <v>#N/A</v>
      </c>
    </row>
    <row r="1222" spans="8:10">
      <c r="H1222" t="e">
        <v>#N/A</v>
      </c>
      <c r="J1222" t="e">
        <v>#N/A</v>
      </c>
    </row>
    <row r="1223" spans="8:10">
      <c r="H1223" t="e">
        <v>#N/A</v>
      </c>
      <c r="J1223" t="e">
        <v>#N/A</v>
      </c>
    </row>
    <row r="1224" spans="8:10">
      <c r="H1224" t="e">
        <v>#N/A</v>
      </c>
      <c r="J1224" t="e">
        <v>#N/A</v>
      </c>
    </row>
    <row r="1225" spans="8:10">
      <c r="H1225" t="e">
        <v>#N/A</v>
      </c>
      <c r="J1225" t="e">
        <v>#N/A</v>
      </c>
    </row>
    <row r="1226" spans="8:10">
      <c r="H1226" t="e">
        <v>#N/A</v>
      </c>
      <c r="J1226" t="e">
        <v>#N/A</v>
      </c>
    </row>
    <row r="1227" spans="8:10">
      <c r="H1227" t="e">
        <v>#N/A</v>
      </c>
      <c r="J1227" t="e">
        <v>#N/A</v>
      </c>
    </row>
    <row r="1228" spans="8:10">
      <c r="H1228" t="e">
        <v>#N/A</v>
      </c>
      <c r="J1228" t="e">
        <v>#N/A</v>
      </c>
    </row>
    <row r="1229" spans="8:10">
      <c r="H1229" t="e">
        <v>#N/A</v>
      </c>
      <c r="J1229" t="e">
        <v>#N/A</v>
      </c>
    </row>
    <row r="1230" spans="8:10">
      <c r="H1230" t="e">
        <v>#N/A</v>
      </c>
      <c r="J1230" t="e">
        <v>#N/A</v>
      </c>
    </row>
    <row r="1231" spans="8:10">
      <c r="H1231" t="e">
        <v>#N/A</v>
      </c>
      <c r="J1231" t="e">
        <v>#N/A</v>
      </c>
    </row>
    <row r="1232" spans="8:10">
      <c r="H1232" t="e">
        <v>#N/A</v>
      </c>
      <c r="J1232" t="e">
        <v>#N/A</v>
      </c>
    </row>
    <row r="1233" spans="8:10">
      <c r="H1233" t="e">
        <v>#N/A</v>
      </c>
      <c r="J1233" t="e">
        <v>#N/A</v>
      </c>
    </row>
    <row r="1234" spans="8:10">
      <c r="H1234" t="e">
        <v>#N/A</v>
      </c>
      <c r="J1234" t="e">
        <v>#N/A</v>
      </c>
    </row>
    <row r="1235" spans="8:10">
      <c r="H1235" t="e">
        <v>#N/A</v>
      </c>
      <c r="J1235" t="e">
        <v>#N/A</v>
      </c>
    </row>
    <row r="1236" spans="8:10">
      <c r="H1236" t="e">
        <v>#N/A</v>
      </c>
      <c r="J1236" t="e">
        <v>#N/A</v>
      </c>
    </row>
    <row r="1237" spans="8:10">
      <c r="H1237" t="e">
        <v>#N/A</v>
      </c>
      <c r="J1237" t="e">
        <v>#N/A</v>
      </c>
    </row>
    <row r="1238" spans="8:10">
      <c r="H1238" t="e">
        <v>#N/A</v>
      </c>
      <c r="J1238" t="e">
        <v>#N/A</v>
      </c>
    </row>
    <row r="1239" spans="8:10">
      <c r="H1239" t="e">
        <v>#N/A</v>
      </c>
      <c r="J1239" t="e">
        <v>#N/A</v>
      </c>
    </row>
    <row r="1240" spans="8:10">
      <c r="H1240" t="e">
        <v>#N/A</v>
      </c>
      <c r="J1240" t="e">
        <v>#N/A</v>
      </c>
    </row>
    <row r="1241" spans="8:10">
      <c r="H1241" t="e">
        <v>#N/A</v>
      </c>
      <c r="J1241" t="e">
        <v>#N/A</v>
      </c>
    </row>
    <row r="1242" spans="8:10">
      <c r="H1242" t="e">
        <v>#N/A</v>
      </c>
      <c r="J1242" t="e">
        <v>#N/A</v>
      </c>
    </row>
    <row r="1243" spans="8:10">
      <c r="H1243" t="e">
        <v>#N/A</v>
      </c>
      <c r="J1243" t="e">
        <v>#N/A</v>
      </c>
    </row>
    <row r="1244" spans="8:10">
      <c r="H1244" t="e">
        <v>#N/A</v>
      </c>
      <c r="J1244" t="e">
        <v>#N/A</v>
      </c>
    </row>
    <row r="1245" spans="8:10">
      <c r="H1245" t="e">
        <v>#N/A</v>
      </c>
      <c r="J1245" t="e">
        <v>#N/A</v>
      </c>
    </row>
    <row r="1246" spans="8:10">
      <c r="H1246" t="e">
        <v>#N/A</v>
      </c>
      <c r="J1246" t="e">
        <v>#N/A</v>
      </c>
    </row>
    <row r="1247" spans="8:10">
      <c r="H1247" t="e">
        <v>#N/A</v>
      </c>
      <c r="J1247" t="e">
        <v>#N/A</v>
      </c>
    </row>
    <row r="1248" spans="8:10">
      <c r="H1248" t="e">
        <v>#N/A</v>
      </c>
      <c r="J1248" t="e">
        <v>#N/A</v>
      </c>
    </row>
    <row r="1249" spans="8:10">
      <c r="H1249" t="e">
        <v>#N/A</v>
      </c>
      <c r="J1249" t="e">
        <v>#N/A</v>
      </c>
    </row>
    <row r="1250" spans="8:10">
      <c r="H1250" t="e">
        <v>#N/A</v>
      </c>
      <c r="J1250" t="e">
        <v>#N/A</v>
      </c>
    </row>
    <row r="1251" spans="8:10">
      <c r="H1251" t="e">
        <v>#N/A</v>
      </c>
      <c r="J1251" t="e">
        <v>#N/A</v>
      </c>
    </row>
    <row r="1252" spans="8:10">
      <c r="H1252" t="e">
        <v>#N/A</v>
      </c>
      <c r="J1252" t="e">
        <v>#N/A</v>
      </c>
    </row>
    <row r="1253" spans="8:10">
      <c r="H1253" t="e">
        <v>#N/A</v>
      </c>
      <c r="J1253" t="e">
        <v>#N/A</v>
      </c>
    </row>
    <row r="1254" spans="8:10">
      <c r="H1254" t="e">
        <v>#N/A</v>
      </c>
      <c r="J1254" t="e">
        <v>#N/A</v>
      </c>
    </row>
    <row r="1255" spans="8:10">
      <c r="H1255" t="e">
        <v>#N/A</v>
      </c>
      <c r="J1255" t="e">
        <v>#N/A</v>
      </c>
    </row>
    <row r="1256" spans="8:10">
      <c r="H1256" t="e">
        <v>#N/A</v>
      </c>
      <c r="J1256" t="e">
        <v>#N/A</v>
      </c>
    </row>
    <row r="1257" spans="8:10">
      <c r="H1257" t="e">
        <v>#N/A</v>
      </c>
      <c r="J1257" t="e">
        <v>#N/A</v>
      </c>
    </row>
    <row r="1258" spans="8:10">
      <c r="H1258" t="e">
        <v>#N/A</v>
      </c>
      <c r="J1258" t="e">
        <v>#N/A</v>
      </c>
    </row>
    <row r="1259" spans="8:10">
      <c r="H1259" t="e">
        <v>#N/A</v>
      </c>
      <c r="J1259" t="e">
        <v>#N/A</v>
      </c>
    </row>
    <row r="1260" spans="8:10">
      <c r="H1260" t="e">
        <v>#N/A</v>
      </c>
      <c r="J1260" t="e">
        <v>#N/A</v>
      </c>
    </row>
    <row r="1261" spans="8:10">
      <c r="H1261" t="e">
        <v>#N/A</v>
      </c>
      <c r="J1261" t="e">
        <v>#N/A</v>
      </c>
    </row>
    <row r="1262" spans="8:10">
      <c r="H1262" t="e">
        <v>#N/A</v>
      </c>
      <c r="J1262" t="e">
        <v>#N/A</v>
      </c>
    </row>
    <row r="1263" spans="8:10">
      <c r="H1263" t="e">
        <v>#N/A</v>
      </c>
      <c r="J1263" t="e">
        <v>#N/A</v>
      </c>
    </row>
    <row r="1264" spans="8:10">
      <c r="H1264" t="e">
        <v>#N/A</v>
      </c>
      <c r="J1264" t="e">
        <v>#N/A</v>
      </c>
    </row>
    <row r="1265" spans="8:10">
      <c r="H1265" t="e">
        <v>#N/A</v>
      </c>
      <c r="J1265" t="e">
        <v>#N/A</v>
      </c>
    </row>
    <row r="1266" spans="8:10">
      <c r="H1266" t="e">
        <v>#N/A</v>
      </c>
      <c r="J1266" t="e">
        <v>#N/A</v>
      </c>
    </row>
    <row r="1267" spans="8:10">
      <c r="H1267" t="e">
        <v>#N/A</v>
      </c>
      <c r="J1267" t="e">
        <v>#N/A</v>
      </c>
    </row>
    <row r="1268" spans="8:10">
      <c r="H1268" t="e">
        <v>#N/A</v>
      </c>
      <c r="J1268" t="e">
        <v>#N/A</v>
      </c>
    </row>
    <row r="1269" spans="8:10">
      <c r="H1269" t="e">
        <v>#N/A</v>
      </c>
      <c r="J1269" t="e">
        <v>#N/A</v>
      </c>
    </row>
    <row r="1270" spans="8:10">
      <c r="H1270" t="e">
        <v>#N/A</v>
      </c>
      <c r="J1270" t="e">
        <v>#N/A</v>
      </c>
    </row>
    <row r="1271" spans="8:10">
      <c r="H1271" t="e">
        <v>#N/A</v>
      </c>
      <c r="J1271" t="e">
        <v>#N/A</v>
      </c>
    </row>
    <row r="1272" spans="8:10">
      <c r="H1272" t="e">
        <v>#N/A</v>
      </c>
      <c r="J1272" t="e">
        <v>#N/A</v>
      </c>
    </row>
    <row r="1273" spans="8:10">
      <c r="H1273" t="e">
        <v>#N/A</v>
      </c>
      <c r="J1273" t="e">
        <v>#N/A</v>
      </c>
    </row>
    <row r="1274" spans="8:10">
      <c r="H1274" t="e">
        <v>#N/A</v>
      </c>
      <c r="J1274" t="e">
        <v>#N/A</v>
      </c>
    </row>
    <row r="1275" spans="8:10">
      <c r="H1275" t="e">
        <v>#N/A</v>
      </c>
      <c r="J1275" t="e">
        <v>#N/A</v>
      </c>
    </row>
    <row r="1276" spans="8:10">
      <c r="H1276" t="e">
        <v>#N/A</v>
      </c>
      <c r="J1276" t="e">
        <v>#N/A</v>
      </c>
    </row>
    <row r="1277" spans="8:10">
      <c r="H1277" t="e">
        <v>#N/A</v>
      </c>
      <c r="J1277" t="e">
        <v>#N/A</v>
      </c>
    </row>
    <row r="1278" spans="8:10">
      <c r="H1278" t="e">
        <v>#N/A</v>
      </c>
      <c r="J1278" t="e">
        <v>#N/A</v>
      </c>
    </row>
    <row r="1279" spans="8:10">
      <c r="H1279" t="e">
        <v>#N/A</v>
      </c>
      <c r="J1279" t="e">
        <v>#N/A</v>
      </c>
    </row>
    <row r="1280" spans="8:10">
      <c r="H1280" t="e">
        <v>#N/A</v>
      </c>
      <c r="J1280" t="e">
        <v>#N/A</v>
      </c>
    </row>
    <row r="1281" spans="8:10">
      <c r="H1281" t="e">
        <v>#N/A</v>
      </c>
      <c r="J1281" t="e">
        <v>#N/A</v>
      </c>
    </row>
    <row r="1282" spans="8:10">
      <c r="H1282" t="e">
        <v>#N/A</v>
      </c>
      <c r="J1282" t="e">
        <v>#N/A</v>
      </c>
    </row>
    <row r="1283" spans="8:10">
      <c r="H1283" t="e">
        <v>#N/A</v>
      </c>
      <c r="J1283" t="e">
        <v>#N/A</v>
      </c>
    </row>
    <row r="1284" spans="8:10">
      <c r="H1284" t="e">
        <v>#N/A</v>
      </c>
      <c r="J1284" t="e">
        <v>#N/A</v>
      </c>
    </row>
    <row r="1285" spans="8:10">
      <c r="H1285" t="e">
        <v>#N/A</v>
      </c>
      <c r="J1285" t="e">
        <v>#N/A</v>
      </c>
    </row>
    <row r="1286" spans="8:10">
      <c r="H1286" t="e">
        <v>#N/A</v>
      </c>
      <c r="J1286" t="e">
        <v>#N/A</v>
      </c>
    </row>
    <row r="1287" spans="8:10">
      <c r="H1287" t="e">
        <v>#N/A</v>
      </c>
      <c r="J1287" t="e">
        <v>#N/A</v>
      </c>
    </row>
    <row r="1288" spans="8:10">
      <c r="H1288" t="e">
        <v>#N/A</v>
      </c>
      <c r="J1288" t="e">
        <v>#N/A</v>
      </c>
    </row>
    <row r="1289" spans="8:10">
      <c r="H1289" t="e">
        <v>#N/A</v>
      </c>
      <c r="J1289" t="e">
        <v>#N/A</v>
      </c>
    </row>
    <row r="1290" spans="8:10">
      <c r="H1290" t="e">
        <v>#N/A</v>
      </c>
      <c r="J1290" t="e">
        <v>#N/A</v>
      </c>
    </row>
    <row r="1291" spans="8:10">
      <c r="H1291" t="e">
        <v>#N/A</v>
      </c>
      <c r="J1291" t="e">
        <v>#N/A</v>
      </c>
    </row>
    <row r="1292" spans="8:10">
      <c r="H1292" t="e">
        <v>#N/A</v>
      </c>
      <c r="J1292" t="e">
        <v>#N/A</v>
      </c>
    </row>
    <row r="1293" spans="8:10">
      <c r="H1293" t="e">
        <v>#N/A</v>
      </c>
      <c r="J1293" t="e">
        <v>#N/A</v>
      </c>
    </row>
    <row r="1294" spans="8:10">
      <c r="H1294" t="e">
        <v>#N/A</v>
      </c>
      <c r="J1294" t="e">
        <v>#N/A</v>
      </c>
    </row>
    <row r="1295" spans="8:10">
      <c r="H1295" t="e">
        <v>#N/A</v>
      </c>
      <c r="J1295" t="e">
        <v>#N/A</v>
      </c>
    </row>
    <row r="1296" spans="8:10">
      <c r="H1296" t="e">
        <v>#N/A</v>
      </c>
      <c r="J1296" t="e">
        <v>#N/A</v>
      </c>
    </row>
    <row r="1297" spans="8:10">
      <c r="H1297" t="e">
        <v>#N/A</v>
      </c>
      <c r="J1297" t="e">
        <v>#N/A</v>
      </c>
    </row>
    <row r="1298" spans="8:10">
      <c r="H1298" t="e">
        <v>#N/A</v>
      </c>
      <c r="J1298" t="e">
        <v>#N/A</v>
      </c>
    </row>
    <row r="1299" spans="8:10">
      <c r="H1299" t="e">
        <v>#N/A</v>
      </c>
      <c r="J1299" t="e">
        <v>#N/A</v>
      </c>
    </row>
    <row r="1300" spans="8:10">
      <c r="H1300" t="e">
        <v>#N/A</v>
      </c>
      <c r="J1300" t="e">
        <v>#N/A</v>
      </c>
    </row>
    <row r="1301" spans="8:10">
      <c r="H1301" t="e">
        <v>#N/A</v>
      </c>
      <c r="J1301" t="e">
        <v>#N/A</v>
      </c>
    </row>
    <row r="1302" spans="8:10">
      <c r="H1302" t="e">
        <v>#N/A</v>
      </c>
      <c r="J1302" t="e">
        <v>#N/A</v>
      </c>
    </row>
    <row r="1303" spans="8:10">
      <c r="H1303" t="e">
        <v>#N/A</v>
      </c>
      <c r="J1303" t="e">
        <v>#N/A</v>
      </c>
    </row>
    <row r="1304" spans="8:10">
      <c r="H1304" t="e">
        <v>#N/A</v>
      </c>
      <c r="J1304" t="e">
        <v>#N/A</v>
      </c>
    </row>
    <row r="1305" spans="8:10">
      <c r="H1305" t="e">
        <v>#N/A</v>
      </c>
      <c r="J1305" t="e">
        <v>#N/A</v>
      </c>
    </row>
    <row r="1306" spans="8:10">
      <c r="H1306" t="e">
        <v>#N/A</v>
      </c>
      <c r="J1306" t="e">
        <v>#N/A</v>
      </c>
    </row>
    <row r="1307" spans="8:10">
      <c r="H1307" t="e">
        <v>#N/A</v>
      </c>
      <c r="J1307" t="e">
        <v>#N/A</v>
      </c>
    </row>
    <row r="1308" spans="8:10">
      <c r="H1308" t="e">
        <v>#N/A</v>
      </c>
      <c r="J1308" t="e">
        <v>#N/A</v>
      </c>
    </row>
    <row r="1309" spans="8:10">
      <c r="H1309" t="e">
        <v>#N/A</v>
      </c>
      <c r="J1309" t="e">
        <v>#N/A</v>
      </c>
    </row>
    <row r="1310" spans="8:10">
      <c r="H1310" t="e">
        <v>#N/A</v>
      </c>
      <c r="J1310" t="e">
        <v>#N/A</v>
      </c>
    </row>
    <row r="1311" spans="8:10">
      <c r="H1311" t="e">
        <v>#N/A</v>
      </c>
      <c r="J1311" t="e">
        <v>#N/A</v>
      </c>
    </row>
    <row r="1312" spans="8:10">
      <c r="H1312" t="e">
        <v>#N/A</v>
      </c>
      <c r="J1312" t="e">
        <v>#N/A</v>
      </c>
    </row>
    <row r="1313" spans="8:10">
      <c r="H1313" t="e">
        <v>#N/A</v>
      </c>
      <c r="J1313" t="e">
        <v>#N/A</v>
      </c>
    </row>
    <row r="1314" spans="8:10">
      <c r="H1314" t="e">
        <v>#N/A</v>
      </c>
      <c r="J1314" t="e">
        <v>#N/A</v>
      </c>
    </row>
    <row r="1315" spans="8:10">
      <c r="H1315" t="e">
        <v>#N/A</v>
      </c>
      <c r="J1315" t="e">
        <v>#N/A</v>
      </c>
    </row>
    <row r="1316" spans="8:10">
      <c r="H1316" t="e">
        <v>#N/A</v>
      </c>
      <c r="J1316" t="e">
        <v>#N/A</v>
      </c>
    </row>
    <row r="1317" spans="8:10">
      <c r="H1317" t="e">
        <v>#N/A</v>
      </c>
      <c r="J1317" t="e">
        <v>#N/A</v>
      </c>
    </row>
    <row r="1318" spans="8:10">
      <c r="H1318" t="e">
        <v>#N/A</v>
      </c>
      <c r="J1318" t="e">
        <v>#N/A</v>
      </c>
    </row>
    <row r="1319" spans="8:10">
      <c r="H1319" t="e">
        <v>#N/A</v>
      </c>
      <c r="J1319" t="e">
        <v>#N/A</v>
      </c>
    </row>
    <row r="1320" spans="8:10">
      <c r="H1320" t="e">
        <v>#N/A</v>
      </c>
      <c r="J1320" t="e">
        <v>#N/A</v>
      </c>
    </row>
    <row r="1321" spans="8:10">
      <c r="H1321" t="e">
        <v>#N/A</v>
      </c>
      <c r="J1321" t="e">
        <v>#N/A</v>
      </c>
    </row>
    <row r="1322" spans="8:10">
      <c r="H1322" t="e">
        <v>#N/A</v>
      </c>
      <c r="J1322" t="e">
        <v>#N/A</v>
      </c>
    </row>
    <row r="1323" spans="8:10">
      <c r="H1323" t="e">
        <v>#N/A</v>
      </c>
      <c r="J1323" t="e">
        <v>#N/A</v>
      </c>
    </row>
    <row r="1324" spans="8:10">
      <c r="H1324" t="e">
        <v>#N/A</v>
      </c>
      <c r="J1324" t="e">
        <v>#N/A</v>
      </c>
    </row>
    <row r="1325" spans="8:10">
      <c r="H1325" t="e">
        <v>#N/A</v>
      </c>
      <c r="J1325" t="e">
        <v>#N/A</v>
      </c>
    </row>
    <row r="1326" spans="8:10">
      <c r="H1326" t="e">
        <v>#N/A</v>
      </c>
      <c r="J1326" t="e">
        <v>#N/A</v>
      </c>
    </row>
    <row r="1327" spans="8:10">
      <c r="H1327" t="e">
        <v>#N/A</v>
      </c>
      <c r="J1327" t="e">
        <v>#N/A</v>
      </c>
    </row>
    <row r="1328" spans="8:10">
      <c r="H1328" t="e">
        <v>#N/A</v>
      </c>
      <c r="J1328" t="e">
        <v>#N/A</v>
      </c>
    </row>
    <row r="1329" spans="8:10">
      <c r="H1329" t="e">
        <v>#N/A</v>
      </c>
      <c r="J1329" t="e">
        <v>#N/A</v>
      </c>
    </row>
    <row r="1330" spans="8:10">
      <c r="H1330" t="e">
        <v>#N/A</v>
      </c>
      <c r="J1330" t="e">
        <v>#N/A</v>
      </c>
    </row>
    <row r="1331" spans="8:10">
      <c r="H1331" t="e">
        <v>#N/A</v>
      </c>
      <c r="J1331" t="e">
        <v>#N/A</v>
      </c>
    </row>
    <row r="1332" spans="8:10">
      <c r="H1332" t="e">
        <v>#N/A</v>
      </c>
      <c r="J1332" t="e">
        <v>#N/A</v>
      </c>
    </row>
    <row r="1333" spans="8:10">
      <c r="H1333" t="e">
        <v>#N/A</v>
      </c>
      <c r="J1333" t="e">
        <v>#N/A</v>
      </c>
    </row>
    <row r="1334" spans="8:10">
      <c r="H1334" t="e">
        <v>#N/A</v>
      </c>
      <c r="J1334" t="e">
        <v>#N/A</v>
      </c>
    </row>
    <row r="1335" spans="8:10">
      <c r="H1335" t="e">
        <v>#N/A</v>
      </c>
      <c r="J1335" t="e">
        <v>#N/A</v>
      </c>
    </row>
    <row r="1336" spans="8:10">
      <c r="H1336" t="e">
        <v>#N/A</v>
      </c>
      <c r="J1336" t="e">
        <v>#N/A</v>
      </c>
    </row>
    <row r="1337" spans="8:10">
      <c r="H1337" t="e">
        <v>#N/A</v>
      </c>
      <c r="J1337" t="e">
        <v>#N/A</v>
      </c>
    </row>
    <row r="1338" spans="8:10">
      <c r="H1338" t="e">
        <v>#N/A</v>
      </c>
      <c r="J1338" t="e">
        <v>#N/A</v>
      </c>
    </row>
    <row r="1339" spans="8:10">
      <c r="H1339" t="e">
        <v>#N/A</v>
      </c>
      <c r="J1339" t="e">
        <v>#N/A</v>
      </c>
    </row>
    <row r="1340" spans="8:10">
      <c r="H1340" t="e">
        <v>#N/A</v>
      </c>
      <c r="J1340" t="e">
        <v>#N/A</v>
      </c>
    </row>
    <row r="1341" spans="8:10">
      <c r="H1341" t="e">
        <v>#N/A</v>
      </c>
      <c r="J1341" t="e">
        <v>#N/A</v>
      </c>
    </row>
    <row r="1342" spans="8:10">
      <c r="H1342" t="e">
        <v>#N/A</v>
      </c>
      <c r="J1342" t="e">
        <v>#N/A</v>
      </c>
    </row>
    <row r="1343" spans="8:10">
      <c r="H1343" t="e">
        <v>#N/A</v>
      </c>
      <c r="J1343" t="e">
        <v>#N/A</v>
      </c>
    </row>
    <row r="1344" spans="8:10">
      <c r="H1344" t="e">
        <v>#N/A</v>
      </c>
      <c r="J1344" t="e">
        <v>#N/A</v>
      </c>
    </row>
    <row r="1345" spans="8:10">
      <c r="H1345" t="e">
        <v>#N/A</v>
      </c>
      <c r="J1345" t="e">
        <v>#N/A</v>
      </c>
    </row>
    <row r="1346" spans="8:10">
      <c r="H1346" t="e">
        <v>#N/A</v>
      </c>
      <c r="J1346" t="e">
        <v>#N/A</v>
      </c>
    </row>
    <row r="1347" spans="8:10">
      <c r="H1347" t="e">
        <v>#N/A</v>
      </c>
      <c r="J1347" t="e">
        <v>#N/A</v>
      </c>
    </row>
    <row r="1348" spans="8:10">
      <c r="H1348" t="e">
        <v>#N/A</v>
      </c>
      <c r="J1348" t="e">
        <v>#N/A</v>
      </c>
    </row>
    <row r="1349" spans="8:10">
      <c r="H1349" t="e">
        <v>#N/A</v>
      </c>
      <c r="J1349" t="e">
        <v>#N/A</v>
      </c>
    </row>
    <row r="1350" spans="8:10">
      <c r="H1350" t="e">
        <v>#N/A</v>
      </c>
      <c r="J1350" t="e">
        <v>#N/A</v>
      </c>
    </row>
    <row r="1351" spans="8:10">
      <c r="H1351" t="e">
        <v>#N/A</v>
      </c>
      <c r="J1351" t="e">
        <v>#N/A</v>
      </c>
    </row>
    <row r="1352" spans="8:10">
      <c r="H1352" t="e">
        <v>#N/A</v>
      </c>
      <c r="J1352" t="e">
        <v>#N/A</v>
      </c>
    </row>
    <row r="1353" spans="8:10">
      <c r="H1353" t="e">
        <v>#N/A</v>
      </c>
      <c r="J1353" t="e">
        <v>#N/A</v>
      </c>
    </row>
    <row r="1354" spans="8:10">
      <c r="H1354" t="e">
        <v>#N/A</v>
      </c>
      <c r="J1354" t="e">
        <v>#N/A</v>
      </c>
    </row>
    <row r="1355" spans="8:10">
      <c r="H1355" t="e">
        <v>#N/A</v>
      </c>
      <c r="J1355" t="e">
        <v>#N/A</v>
      </c>
    </row>
    <row r="1356" spans="8:10">
      <c r="H1356" t="e">
        <v>#N/A</v>
      </c>
      <c r="J1356" t="e">
        <v>#N/A</v>
      </c>
    </row>
    <row r="1357" spans="8:10">
      <c r="H1357" t="e">
        <v>#N/A</v>
      </c>
      <c r="J1357" t="e">
        <v>#N/A</v>
      </c>
    </row>
    <row r="1358" spans="8:10">
      <c r="H1358" t="e">
        <v>#N/A</v>
      </c>
      <c r="J1358" t="e">
        <v>#N/A</v>
      </c>
    </row>
    <row r="1359" spans="8:10">
      <c r="H1359" t="e">
        <v>#N/A</v>
      </c>
      <c r="J1359" t="e">
        <v>#N/A</v>
      </c>
    </row>
    <row r="1360" spans="8:10">
      <c r="H1360" t="e">
        <v>#N/A</v>
      </c>
      <c r="J1360" t="e">
        <v>#N/A</v>
      </c>
    </row>
    <row r="1361" spans="8:10">
      <c r="H1361" t="e">
        <v>#N/A</v>
      </c>
      <c r="J1361" t="e">
        <v>#N/A</v>
      </c>
    </row>
    <row r="1362" spans="8:10">
      <c r="H1362" t="e">
        <v>#N/A</v>
      </c>
      <c r="J1362" t="e">
        <v>#N/A</v>
      </c>
    </row>
    <row r="1363" spans="8:10">
      <c r="H1363" t="e">
        <v>#N/A</v>
      </c>
      <c r="J1363" t="e">
        <v>#N/A</v>
      </c>
    </row>
    <row r="1364" spans="8:10">
      <c r="H1364" t="e">
        <v>#N/A</v>
      </c>
      <c r="J1364" t="e">
        <v>#N/A</v>
      </c>
    </row>
    <row r="1365" spans="8:10">
      <c r="H1365" t="e">
        <v>#N/A</v>
      </c>
      <c r="J1365" t="e">
        <v>#N/A</v>
      </c>
    </row>
    <row r="1366" spans="8:10">
      <c r="H1366" t="e">
        <v>#N/A</v>
      </c>
      <c r="J1366" t="e">
        <v>#N/A</v>
      </c>
    </row>
    <row r="1367" spans="8:10">
      <c r="H1367" t="e">
        <v>#N/A</v>
      </c>
      <c r="J1367" t="e">
        <v>#N/A</v>
      </c>
    </row>
    <row r="1368" spans="8:10">
      <c r="H1368" t="e">
        <v>#N/A</v>
      </c>
      <c r="J1368" t="e">
        <v>#N/A</v>
      </c>
    </row>
    <row r="1369" spans="8:10">
      <c r="H1369" t="e">
        <v>#N/A</v>
      </c>
      <c r="J1369" t="e">
        <v>#N/A</v>
      </c>
    </row>
    <row r="1370" spans="8:10">
      <c r="H1370" t="e">
        <v>#N/A</v>
      </c>
      <c r="J1370" t="e">
        <v>#N/A</v>
      </c>
    </row>
    <row r="1371" spans="8:10">
      <c r="H1371" t="e">
        <v>#N/A</v>
      </c>
      <c r="J1371" t="e">
        <v>#N/A</v>
      </c>
    </row>
    <row r="1372" spans="8:10">
      <c r="H1372" t="e">
        <v>#N/A</v>
      </c>
      <c r="J1372" t="e">
        <v>#N/A</v>
      </c>
    </row>
    <row r="1373" spans="8:10">
      <c r="H1373" t="e">
        <v>#N/A</v>
      </c>
      <c r="J1373" t="e">
        <v>#N/A</v>
      </c>
    </row>
    <row r="1374" spans="8:10">
      <c r="H1374" t="e">
        <v>#N/A</v>
      </c>
      <c r="J1374" t="e">
        <v>#N/A</v>
      </c>
    </row>
    <row r="1375" spans="8:10">
      <c r="H1375" t="e">
        <v>#N/A</v>
      </c>
      <c r="J1375" t="e">
        <v>#N/A</v>
      </c>
    </row>
    <row r="1376" spans="8:10">
      <c r="H1376" t="e">
        <v>#N/A</v>
      </c>
      <c r="J1376" t="e">
        <v>#N/A</v>
      </c>
    </row>
    <row r="1377" spans="8:10">
      <c r="H1377" t="e">
        <v>#N/A</v>
      </c>
      <c r="J1377" t="e">
        <v>#N/A</v>
      </c>
    </row>
    <row r="1378" spans="8:10">
      <c r="H1378" t="e">
        <v>#N/A</v>
      </c>
      <c r="J1378" t="e">
        <v>#N/A</v>
      </c>
    </row>
    <row r="1379" spans="8:10">
      <c r="H1379" t="e">
        <v>#N/A</v>
      </c>
      <c r="J1379" t="e">
        <v>#N/A</v>
      </c>
    </row>
    <row r="1380" spans="8:10">
      <c r="H1380" t="e">
        <v>#N/A</v>
      </c>
      <c r="J1380" t="e">
        <v>#N/A</v>
      </c>
    </row>
    <row r="1381" spans="8:10">
      <c r="H1381" t="e">
        <v>#N/A</v>
      </c>
      <c r="J1381" t="e">
        <v>#N/A</v>
      </c>
    </row>
    <row r="1382" spans="8:10">
      <c r="H1382" t="e">
        <v>#N/A</v>
      </c>
      <c r="J1382" t="e">
        <v>#N/A</v>
      </c>
    </row>
    <row r="1383" spans="8:10">
      <c r="H1383" t="e">
        <v>#N/A</v>
      </c>
      <c r="J1383" t="e">
        <v>#N/A</v>
      </c>
    </row>
    <row r="1384" spans="8:10">
      <c r="H1384" t="e">
        <v>#N/A</v>
      </c>
      <c r="J1384" t="e">
        <v>#N/A</v>
      </c>
    </row>
    <row r="1385" spans="8:10">
      <c r="H1385" t="e">
        <v>#N/A</v>
      </c>
      <c r="J1385" t="e">
        <v>#N/A</v>
      </c>
    </row>
    <row r="1386" spans="8:10">
      <c r="H1386" t="e">
        <v>#N/A</v>
      </c>
      <c r="J1386" t="e">
        <v>#N/A</v>
      </c>
    </row>
    <row r="1387" spans="8:10">
      <c r="H1387" t="e">
        <v>#N/A</v>
      </c>
      <c r="J1387" t="e">
        <v>#N/A</v>
      </c>
    </row>
    <row r="1388" spans="8:10">
      <c r="H1388" t="e">
        <v>#N/A</v>
      </c>
      <c r="J1388" t="e">
        <v>#N/A</v>
      </c>
    </row>
    <row r="1389" spans="8:10">
      <c r="H1389" t="e">
        <v>#N/A</v>
      </c>
      <c r="J1389" t="e">
        <v>#N/A</v>
      </c>
    </row>
    <row r="1390" spans="8:10">
      <c r="H1390" t="e">
        <v>#N/A</v>
      </c>
      <c r="J1390" t="e">
        <v>#N/A</v>
      </c>
    </row>
    <row r="1391" spans="8:10">
      <c r="H1391" t="e">
        <v>#N/A</v>
      </c>
      <c r="J1391" t="e">
        <v>#N/A</v>
      </c>
    </row>
    <row r="1392" spans="8:10">
      <c r="H1392" t="e">
        <v>#N/A</v>
      </c>
      <c r="J1392" t="e">
        <v>#N/A</v>
      </c>
    </row>
    <row r="1393" spans="8:10">
      <c r="H1393" t="e">
        <v>#N/A</v>
      </c>
      <c r="J1393" t="e">
        <v>#N/A</v>
      </c>
    </row>
    <row r="1394" spans="8:10">
      <c r="H1394" t="e">
        <v>#N/A</v>
      </c>
      <c r="J1394" t="e">
        <v>#N/A</v>
      </c>
    </row>
    <row r="1395" spans="8:10">
      <c r="H1395" t="e">
        <v>#N/A</v>
      </c>
      <c r="J1395" t="e">
        <v>#N/A</v>
      </c>
    </row>
    <row r="1396" spans="8:10">
      <c r="H1396" t="e">
        <v>#N/A</v>
      </c>
      <c r="J1396" t="e">
        <v>#N/A</v>
      </c>
    </row>
    <row r="1397" spans="8:10">
      <c r="H1397" t="e">
        <v>#N/A</v>
      </c>
      <c r="J1397" t="e">
        <v>#N/A</v>
      </c>
    </row>
    <row r="1398" spans="8:10">
      <c r="H1398" t="e">
        <v>#N/A</v>
      </c>
      <c r="J1398" t="e">
        <v>#N/A</v>
      </c>
    </row>
    <row r="1399" spans="8:10">
      <c r="H1399" t="e">
        <v>#N/A</v>
      </c>
      <c r="J1399" t="e">
        <v>#N/A</v>
      </c>
    </row>
    <row r="1400" spans="8:10">
      <c r="H1400" t="e">
        <v>#N/A</v>
      </c>
      <c r="J1400" t="e">
        <v>#N/A</v>
      </c>
    </row>
    <row r="1401" spans="8:10">
      <c r="H1401" t="e">
        <v>#N/A</v>
      </c>
      <c r="J1401" t="e">
        <v>#N/A</v>
      </c>
    </row>
    <row r="1402" spans="8:10">
      <c r="H1402" t="e">
        <v>#N/A</v>
      </c>
      <c r="J1402" t="e">
        <v>#N/A</v>
      </c>
    </row>
    <row r="1403" spans="8:10">
      <c r="H1403" t="e">
        <v>#N/A</v>
      </c>
      <c r="J1403" t="e">
        <v>#N/A</v>
      </c>
    </row>
    <row r="1404" spans="8:10">
      <c r="H1404" t="e">
        <v>#N/A</v>
      </c>
      <c r="J1404" t="e">
        <v>#N/A</v>
      </c>
    </row>
    <row r="1405" spans="8:10">
      <c r="H1405" t="e">
        <v>#N/A</v>
      </c>
      <c r="J1405" t="e">
        <v>#N/A</v>
      </c>
    </row>
    <row r="1406" spans="8:10">
      <c r="H1406" t="e">
        <v>#N/A</v>
      </c>
      <c r="J1406" t="e">
        <v>#N/A</v>
      </c>
    </row>
    <row r="1407" spans="8:10">
      <c r="H1407" t="e">
        <v>#N/A</v>
      </c>
      <c r="J1407" t="e">
        <v>#N/A</v>
      </c>
    </row>
    <row r="1408" spans="8:10">
      <c r="H1408" t="e">
        <v>#N/A</v>
      </c>
      <c r="J1408" t="e">
        <v>#N/A</v>
      </c>
    </row>
    <row r="1409" spans="8:10">
      <c r="H1409" t="e">
        <v>#N/A</v>
      </c>
      <c r="J1409" t="e">
        <v>#N/A</v>
      </c>
    </row>
    <row r="1410" spans="8:10">
      <c r="H1410" t="e">
        <v>#N/A</v>
      </c>
      <c r="J1410" t="e">
        <v>#N/A</v>
      </c>
    </row>
    <row r="1411" spans="8:10">
      <c r="H1411" t="e">
        <v>#N/A</v>
      </c>
      <c r="J1411" t="e">
        <v>#N/A</v>
      </c>
    </row>
    <row r="1412" spans="8:10">
      <c r="H1412" t="e">
        <v>#N/A</v>
      </c>
      <c r="J1412" t="e">
        <v>#N/A</v>
      </c>
    </row>
    <row r="1413" spans="8:10">
      <c r="H1413" t="e">
        <v>#N/A</v>
      </c>
      <c r="J1413" t="e">
        <v>#N/A</v>
      </c>
    </row>
    <row r="1414" spans="8:10">
      <c r="H1414" t="e">
        <v>#N/A</v>
      </c>
      <c r="J1414" t="e">
        <v>#N/A</v>
      </c>
    </row>
    <row r="1415" spans="8:10">
      <c r="H1415" t="e">
        <v>#N/A</v>
      </c>
      <c r="J1415" t="e">
        <v>#N/A</v>
      </c>
    </row>
    <row r="1416" spans="8:10">
      <c r="H1416" t="e">
        <v>#N/A</v>
      </c>
      <c r="J1416" t="e">
        <v>#N/A</v>
      </c>
    </row>
    <row r="1417" spans="8:10">
      <c r="H1417" t="e">
        <v>#N/A</v>
      </c>
      <c r="J1417" t="e">
        <v>#N/A</v>
      </c>
    </row>
    <row r="1418" spans="8:10">
      <c r="H1418" t="e">
        <v>#N/A</v>
      </c>
      <c r="J1418" t="e">
        <v>#N/A</v>
      </c>
    </row>
    <row r="1419" spans="8:10">
      <c r="H1419" t="e">
        <v>#N/A</v>
      </c>
      <c r="J1419" t="e">
        <v>#N/A</v>
      </c>
    </row>
    <row r="1420" spans="8:10">
      <c r="H1420" t="e">
        <v>#N/A</v>
      </c>
      <c r="J1420" t="e">
        <v>#N/A</v>
      </c>
    </row>
    <row r="1421" spans="8:10">
      <c r="H1421" t="e">
        <v>#N/A</v>
      </c>
      <c r="J1421" t="e">
        <v>#N/A</v>
      </c>
    </row>
    <row r="1422" spans="8:10">
      <c r="H1422" t="e">
        <v>#N/A</v>
      </c>
      <c r="J1422" t="e">
        <v>#N/A</v>
      </c>
    </row>
    <row r="1423" spans="8:10">
      <c r="H1423" t="e">
        <v>#N/A</v>
      </c>
      <c r="J1423" t="e">
        <v>#N/A</v>
      </c>
    </row>
    <row r="1424" spans="8:10">
      <c r="H1424" t="e">
        <v>#N/A</v>
      </c>
      <c r="J1424" t="e">
        <v>#N/A</v>
      </c>
    </row>
    <row r="1425" spans="8:10">
      <c r="H1425" t="e">
        <v>#N/A</v>
      </c>
      <c r="J1425" t="e">
        <v>#N/A</v>
      </c>
    </row>
    <row r="1426" spans="8:10">
      <c r="H1426" t="e">
        <v>#N/A</v>
      </c>
      <c r="J1426" t="e">
        <v>#N/A</v>
      </c>
    </row>
    <row r="1427" spans="8:10">
      <c r="H1427" t="e">
        <v>#N/A</v>
      </c>
      <c r="J1427" t="e">
        <v>#N/A</v>
      </c>
    </row>
    <row r="1428" spans="8:10">
      <c r="H1428" t="e">
        <v>#N/A</v>
      </c>
      <c r="J1428" t="e">
        <v>#N/A</v>
      </c>
    </row>
    <row r="1429" spans="8:10">
      <c r="H1429" t="e">
        <v>#N/A</v>
      </c>
      <c r="J1429" t="e">
        <v>#N/A</v>
      </c>
    </row>
    <row r="1430" spans="8:10">
      <c r="H1430" t="e">
        <v>#N/A</v>
      </c>
      <c r="J1430" t="e">
        <v>#N/A</v>
      </c>
    </row>
    <row r="1431" spans="8:10">
      <c r="H1431" t="e">
        <v>#N/A</v>
      </c>
      <c r="J1431" t="e">
        <v>#N/A</v>
      </c>
    </row>
    <row r="1432" spans="8:10">
      <c r="H1432" t="e">
        <v>#N/A</v>
      </c>
      <c r="J1432" t="e">
        <v>#N/A</v>
      </c>
    </row>
    <row r="1433" spans="8:10">
      <c r="H1433" t="e">
        <v>#N/A</v>
      </c>
      <c r="J1433" t="e">
        <v>#N/A</v>
      </c>
    </row>
    <row r="1434" spans="8:10">
      <c r="H1434" t="e">
        <v>#N/A</v>
      </c>
      <c r="J1434" t="e">
        <v>#N/A</v>
      </c>
    </row>
    <row r="1435" spans="8:10">
      <c r="H1435" t="e">
        <v>#N/A</v>
      </c>
      <c r="J1435" t="e">
        <v>#N/A</v>
      </c>
    </row>
    <row r="1436" spans="8:10">
      <c r="H1436" t="e">
        <v>#N/A</v>
      </c>
      <c r="J1436" t="e">
        <v>#N/A</v>
      </c>
    </row>
    <row r="1437" spans="8:10">
      <c r="H1437" t="e">
        <v>#N/A</v>
      </c>
      <c r="J1437" t="e">
        <v>#N/A</v>
      </c>
    </row>
    <row r="1438" spans="8:10">
      <c r="H1438" t="e">
        <v>#N/A</v>
      </c>
      <c r="J1438" t="e">
        <v>#N/A</v>
      </c>
    </row>
    <row r="1439" spans="8:10">
      <c r="H1439" t="e">
        <v>#N/A</v>
      </c>
      <c r="J1439" t="e">
        <v>#N/A</v>
      </c>
    </row>
    <row r="1440" spans="8:10">
      <c r="H1440" t="e">
        <v>#N/A</v>
      </c>
      <c r="J1440" t="e">
        <v>#N/A</v>
      </c>
    </row>
    <row r="1441" spans="8:10">
      <c r="H1441" t="e">
        <v>#N/A</v>
      </c>
      <c r="J1441" t="e">
        <v>#N/A</v>
      </c>
    </row>
    <row r="1442" spans="8:10">
      <c r="H1442" t="e">
        <v>#N/A</v>
      </c>
      <c r="J1442" t="e">
        <v>#N/A</v>
      </c>
    </row>
    <row r="1443" spans="8:10">
      <c r="H1443" t="e">
        <v>#N/A</v>
      </c>
      <c r="J1443" t="e">
        <v>#N/A</v>
      </c>
    </row>
    <row r="1444" spans="8:10">
      <c r="H1444" t="e">
        <v>#N/A</v>
      </c>
      <c r="J1444" t="e">
        <v>#N/A</v>
      </c>
    </row>
    <row r="1445" spans="8:10">
      <c r="H1445" t="e">
        <v>#N/A</v>
      </c>
      <c r="J1445" t="e">
        <v>#N/A</v>
      </c>
    </row>
    <row r="1446" spans="8:10">
      <c r="H1446" t="e">
        <v>#N/A</v>
      </c>
      <c r="J1446" t="e">
        <v>#N/A</v>
      </c>
    </row>
    <row r="1447" spans="8:10">
      <c r="H1447" t="e">
        <v>#N/A</v>
      </c>
      <c r="J1447" t="e">
        <v>#N/A</v>
      </c>
    </row>
    <row r="1448" spans="8:10">
      <c r="H1448" t="e">
        <v>#N/A</v>
      </c>
      <c r="J1448" t="e">
        <v>#N/A</v>
      </c>
    </row>
    <row r="1449" spans="8:10">
      <c r="H1449" t="e">
        <v>#N/A</v>
      </c>
      <c r="J1449" t="e">
        <v>#N/A</v>
      </c>
    </row>
    <row r="1450" spans="8:10">
      <c r="H1450" t="e">
        <v>#N/A</v>
      </c>
      <c r="J1450" t="e">
        <v>#N/A</v>
      </c>
    </row>
    <row r="1451" spans="8:10">
      <c r="H1451" t="e">
        <v>#N/A</v>
      </c>
      <c r="J1451" t="e">
        <v>#N/A</v>
      </c>
    </row>
    <row r="1452" spans="8:10">
      <c r="H1452" t="e">
        <v>#N/A</v>
      </c>
      <c r="J1452" t="e">
        <v>#N/A</v>
      </c>
    </row>
    <row r="1453" spans="8:10">
      <c r="H1453" t="e">
        <v>#N/A</v>
      </c>
      <c r="J1453" t="e">
        <v>#N/A</v>
      </c>
    </row>
    <row r="1454" spans="8:10">
      <c r="H1454" t="e">
        <v>#N/A</v>
      </c>
      <c r="J1454" t="e">
        <v>#N/A</v>
      </c>
    </row>
    <row r="1455" spans="8:10">
      <c r="H1455" t="e">
        <v>#N/A</v>
      </c>
      <c r="J1455" t="e">
        <v>#N/A</v>
      </c>
    </row>
    <row r="1456" spans="8:10">
      <c r="H1456" t="e">
        <v>#N/A</v>
      </c>
      <c r="J1456" t="e">
        <v>#N/A</v>
      </c>
    </row>
    <row r="1457" spans="8:10">
      <c r="H1457" t="e">
        <v>#N/A</v>
      </c>
      <c r="J1457" t="e">
        <v>#N/A</v>
      </c>
    </row>
    <row r="1458" spans="8:10">
      <c r="H1458" t="e">
        <v>#N/A</v>
      </c>
      <c r="J1458" t="e">
        <v>#N/A</v>
      </c>
    </row>
    <row r="1459" spans="8:10">
      <c r="H1459" t="e">
        <v>#N/A</v>
      </c>
      <c r="J1459" t="e">
        <v>#N/A</v>
      </c>
    </row>
    <row r="1460" spans="8:10">
      <c r="H1460" t="e">
        <v>#N/A</v>
      </c>
      <c r="J1460" t="e">
        <v>#N/A</v>
      </c>
    </row>
    <row r="1461" spans="8:10">
      <c r="H1461" t="e">
        <v>#N/A</v>
      </c>
      <c r="J1461" t="e">
        <v>#N/A</v>
      </c>
    </row>
    <row r="1462" spans="8:10">
      <c r="H1462" t="e">
        <v>#N/A</v>
      </c>
      <c r="J1462" t="e">
        <v>#N/A</v>
      </c>
    </row>
    <row r="1463" spans="8:10">
      <c r="H1463" t="e">
        <v>#N/A</v>
      </c>
      <c r="J1463" t="e">
        <v>#N/A</v>
      </c>
    </row>
    <row r="1464" spans="8:10">
      <c r="H1464" t="e">
        <v>#N/A</v>
      </c>
      <c r="J1464" t="e">
        <v>#N/A</v>
      </c>
    </row>
    <row r="1465" spans="8:10">
      <c r="H1465" t="e">
        <v>#N/A</v>
      </c>
      <c r="J1465" t="e">
        <v>#N/A</v>
      </c>
    </row>
    <row r="1466" spans="8:10">
      <c r="H1466" t="e">
        <v>#N/A</v>
      </c>
      <c r="J1466" t="e">
        <v>#N/A</v>
      </c>
    </row>
    <row r="1467" spans="8:10">
      <c r="H1467" t="e">
        <v>#N/A</v>
      </c>
      <c r="J1467" t="e">
        <v>#N/A</v>
      </c>
    </row>
    <row r="1468" spans="8:10">
      <c r="H1468" t="e">
        <v>#N/A</v>
      </c>
      <c r="J1468" t="e">
        <v>#N/A</v>
      </c>
    </row>
    <row r="1469" spans="8:10">
      <c r="H1469" t="e">
        <v>#N/A</v>
      </c>
      <c r="J1469" t="e">
        <v>#N/A</v>
      </c>
    </row>
    <row r="1470" spans="8:10">
      <c r="H1470" t="e">
        <v>#N/A</v>
      </c>
      <c r="J1470" t="e">
        <v>#N/A</v>
      </c>
    </row>
    <row r="1471" spans="8:10">
      <c r="H1471" t="e">
        <v>#N/A</v>
      </c>
      <c r="J1471" t="e">
        <v>#N/A</v>
      </c>
    </row>
    <row r="1472" spans="8:10">
      <c r="H1472" t="e">
        <v>#N/A</v>
      </c>
      <c r="J1472" t="e">
        <v>#N/A</v>
      </c>
    </row>
    <row r="1473" spans="8:10">
      <c r="H1473" t="e">
        <v>#N/A</v>
      </c>
      <c r="J1473" t="e">
        <v>#N/A</v>
      </c>
    </row>
    <row r="1474" spans="8:10">
      <c r="H1474" t="e">
        <v>#N/A</v>
      </c>
      <c r="J1474" t="e">
        <v>#N/A</v>
      </c>
    </row>
    <row r="1475" spans="8:10">
      <c r="H1475" t="e">
        <v>#N/A</v>
      </c>
      <c r="J1475" t="e">
        <v>#N/A</v>
      </c>
    </row>
    <row r="1476" spans="8:10">
      <c r="H1476" t="e">
        <v>#N/A</v>
      </c>
      <c r="J1476" t="e">
        <v>#N/A</v>
      </c>
    </row>
    <row r="1477" spans="8:10">
      <c r="H1477" t="e">
        <v>#N/A</v>
      </c>
      <c r="J1477" t="e">
        <v>#N/A</v>
      </c>
    </row>
    <row r="1478" spans="8:10">
      <c r="H1478" t="e">
        <v>#N/A</v>
      </c>
      <c r="J1478" t="e">
        <v>#N/A</v>
      </c>
    </row>
    <row r="1479" spans="8:10">
      <c r="H1479" t="e">
        <v>#N/A</v>
      </c>
      <c r="J1479" t="e">
        <v>#N/A</v>
      </c>
    </row>
    <row r="1480" spans="8:10">
      <c r="H1480" t="e">
        <v>#N/A</v>
      </c>
      <c r="J1480" t="e">
        <v>#N/A</v>
      </c>
    </row>
    <row r="1481" spans="8:10">
      <c r="H1481" t="e">
        <v>#N/A</v>
      </c>
      <c r="J1481" t="e">
        <v>#N/A</v>
      </c>
    </row>
    <row r="1482" spans="8:10">
      <c r="H1482" t="e">
        <v>#N/A</v>
      </c>
      <c r="J1482" t="e">
        <v>#N/A</v>
      </c>
    </row>
    <row r="1483" spans="8:10">
      <c r="H1483" t="e">
        <v>#N/A</v>
      </c>
      <c r="J1483" t="e">
        <v>#N/A</v>
      </c>
    </row>
    <row r="1484" spans="8:10">
      <c r="H1484" t="e">
        <v>#N/A</v>
      </c>
      <c r="J1484" t="e">
        <v>#N/A</v>
      </c>
    </row>
    <row r="1485" spans="8:10">
      <c r="H1485" t="e">
        <v>#N/A</v>
      </c>
      <c r="J1485" t="e">
        <v>#N/A</v>
      </c>
    </row>
    <row r="1486" spans="8:10">
      <c r="H1486" t="e">
        <v>#N/A</v>
      </c>
      <c r="J1486" t="e">
        <v>#N/A</v>
      </c>
    </row>
    <row r="1487" spans="8:10">
      <c r="H1487" t="e">
        <v>#N/A</v>
      </c>
      <c r="J1487" t="e">
        <v>#N/A</v>
      </c>
    </row>
    <row r="1488" spans="8:10">
      <c r="H1488" t="e">
        <v>#N/A</v>
      </c>
      <c r="J1488" t="e">
        <v>#N/A</v>
      </c>
    </row>
    <row r="1489" spans="8:10">
      <c r="H1489" t="e">
        <v>#N/A</v>
      </c>
      <c r="J1489" t="e">
        <v>#N/A</v>
      </c>
    </row>
    <row r="1490" spans="8:10">
      <c r="H1490" t="e">
        <v>#N/A</v>
      </c>
      <c r="J1490" t="e">
        <v>#N/A</v>
      </c>
    </row>
    <row r="1491" spans="8:10">
      <c r="H1491" t="e">
        <v>#N/A</v>
      </c>
      <c r="J1491" t="e">
        <v>#N/A</v>
      </c>
    </row>
    <row r="1492" spans="8:10">
      <c r="H1492" t="e">
        <v>#N/A</v>
      </c>
      <c r="J1492" t="e">
        <v>#N/A</v>
      </c>
    </row>
    <row r="1493" spans="8:10">
      <c r="H1493" t="e">
        <v>#N/A</v>
      </c>
      <c r="J1493" t="e">
        <v>#N/A</v>
      </c>
    </row>
    <row r="1494" spans="8:10">
      <c r="H1494" t="e">
        <v>#N/A</v>
      </c>
      <c r="J1494" t="e">
        <v>#N/A</v>
      </c>
    </row>
    <row r="1495" spans="8:10">
      <c r="H1495" t="e">
        <v>#N/A</v>
      </c>
      <c r="J1495" t="e">
        <v>#N/A</v>
      </c>
    </row>
    <row r="1496" spans="8:10">
      <c r="H1496" t="e">
        <v>#N/A</v>
      </c>
      <c r="J1496" t="e">
        <v>#N/A</v>
      </c>
    </row>
    <row r="1497" spans="8:10">
      <c r="H1497" t="e">
        <v>#N/A</v>
      </c>
      <c r="J1497" t="e">
        <v>#N/A</v>
      </c>
    </row>
    <row r="1498" spans="8:10">
      <c r="H1498" t="e">
        <v>#N/A</v>
      </c>
      <c r="J1498" t="e">
        <v>#N/A</v>
      </c>
    </row>
    <row r="1499" spans="8:10">
      <c r="H1499" t="e">
        <v>#N/A</v>
      </c>
      <c r="J1499" t="e">
        <v>#N/A</v>
      </c>
    </row>
    <row r="1500" spans="8:10">
      <c r="H1500" t="e">
        <v>#N/A</v>
      </c>
      <c r="J1500" t="e">
        <v>#N/A</v>
      </c>
    </row>
    <row r="1501" spans="8:10">
      <c r="H1501" t="e">
        <v>#N/A</v>
      </c>
      <c r="J1501" t="e">
        <v>#N/A</v>
      </c>
    </row>
    <row r="1502" spans="8:10">
      <c r="H1502" t="e">
        <v>#N/A</v>
      </c>
      <c r="J1502" t="e">
        <v>#N/A</v>
      </c>
    </row>
    <row r="1503" spans="8:10">
      <c r="H1503" t="e">
        <v>#N/A</v>
      </c>
      <c r="J1503" t="e">
        <v>#N/A</v>
      </c>
    </row>
    <row r="1504" spans="8:10">
      <c r="H1504" t="e">
        <v>#N/A</v>
      </c>
      <c r="J1504" t="e">
        <v>#N/A</v>
      </c>
    </row>
    <row r="1505" spans="8:10">
      <c r="H1505" t="e">
        <v>#N/A</v>
      </c>
      <c r="J1505" t="e">
        <v>#N/A</v>
      </c>
    </row>
    <row r="1506" spans="8:10">
      <c r="H1506" t="e">
        <v>#N/A</v>
      </c>
      <c r="J1506" t="e">
        <v>#N/A</v>
      </c>
    </row>
    <row r="1507" spans="8:10">
      <c r="H1507" t="e">
        <v>#N/A</v>
      </c>
      <c r="J1507" t="e">
        <v>#N/A</v>
      </c>
    </row>
    <row r="1508" spans="8:10">
      <c r="H1508" t="e">
        <v>#N/A</v>
      </c>
      <c r="J1508" t="e">
        <v>#N/A</v>
      </c>
    </row>
    <row r="1509" spans="8:10">
      <c r="H1509" t="e">
        <v>#N/A</v>
      </c>
      <c r="J1509" t="e">
        <v>#N/A</v>
      </c>
    </row>
    <row r="1510" spans="8:10">
      <c r="H1510" t="e">
        <v>#N/A</v>
      </c>
      <c r="J1510" t="e">
        <v>#N/A</v>
      </c>
    </row>
    <row r="1511" spans="8:10">
      <c r="H1511" t="e">
        <v>#N/A</v>
      </c>
      <c r="J1511" t="e">
        <v>#N/A</v>
      </c>
    </row>
    <row r="1512" spans="8:10">
      <c r="H1512" t="e">
        <v>#N/A</v>
      </c>
      <c r="J1512" t="e">
        <v>#N/A</v>
      </c>
    </row>
    <row r="1513" spans="8:10">
      <c r="H1513" t="e">
        <v>#N/A</v>
      </c>
      <c r="J1513" t="e">
        <v>#N/A</v>
      </c>
    </row>
    <row r="1514" spans="8:10">
      <c r="H1514" t="e">
        <v>#N/A</v>
      </c>
      <c r="J1514" t="e">
        <v>#N/A</v>
      </c>
    </row>
    <row r="1515" spans="8:10">
      <c r="H1515" t="e">
        <v>#N/A</v>
      </c>
      <c r="J1515" t="e">
        <v>#N/A</v>
      </c>
    </row>
    <row r="1516" spans="8:10">
      <c r="H1516" t="e">
        <v>#N/A</v>
      </c>
      <c r="J1516" t="e">
        <v>#N/A</v>
      </c>
    </row>
    <row r="1517" spans="8:10">
      <c r="H1517" t="e">
        <v>#N/A</v>
      </c>
      <c r="J1517" t="e">
        <v>#N/A</v>
      </c>
    </row>
    <row r="1518" spans="8:10">
      <c r="H1518" t="e">
        <v>#N/A</v>
      </c>
      <c r="J1518" t="e">
        <v>#N/A</v>
      </c>
    </row>
    <row r="1519" spans="8:10">
      <c r="H1519" t="e">
        <v>#N/A</v>
      </c>
      <c r="J1519" t="e">
        <v>#N/A</v>
      </c>
    </row>
    <row r="1520" spans="8:10">
      <c r="H1520" t="e">
        <v>#N/A</v>
      </c>
      <c r="J1520" t="e">
        <v>#N/A</v>
      </c>
    </row>
    <row r="1521" spans="8:10">
      <c r="H1521" t="e">
        <v>#N/A</v>
      </c>
      <c r="J1521" t="e">
        <v>#N/A</v>
      </c>
    </row>
    <row r="1522" spans="8:10">
      <c r="H1522" t="e">
        <v>#N/A</v>
      </c>
      <c r="J1522" t="e">
        <v>#N/A</v>
      </c>
    </row>
    <row r="1523" spans="8:10">
      <c r="H1523" t="e">
        <v>#N/A</v>
      </c>
      <c r="J1523" t="e">
        <v>#N/A</v>
      </c>
    </row>
    <row r="1524" spans="8:10">
      <c r="H1524" t="e">
        <v>#N/A</v>
      </c>
      <c r="J1524" t="e">
        <v>#N/A</v>
      </c>
    </row>
    <row r="1525" spans="8:10">
      <c r="H1525" t="e">
        <v>#N/A</v>
      </c>
      <c r="J1525" t="e">
        <v>#N/A</v>
      </c>
    </row>
    <row r="1526" spans="8:10">
      <c r="H1526" t="e">
        <v>#N/A</v>
      </c>
      <c r="J1526" t="e">
        <v>#N/A</v>
      </c>
    </row>
    <row r="1527" spans="8:10">
      <c r="H1527" t="e">
        <v>#N/A</v>
      </c>
      <c r="J1527" t="e">
        <v>#N/A</v>
      </c>
    </row>
    <row r="1528" spans="8:10">
      <c r="H1528" t="e">
        <v>#N/A</v>
      </c>
      <c r="J1528" t="e">
        <v>#N/A</v>
      </c>
    </row>
    <row r="1529" spans="8:10">
      <c r="H1529" t="e">
        <v>#N/A</v>
      </c>
      <c r="J1529" t="e">
        <v>#N/A</v>
      </c>
    </row>
    <row r="1530" spans="8:10">
      <c r="H1530" t="e">
        <v>#N/A</v>
      </c>
      <c r="J1530" t="e">
        <v>#N/A</v>
      </c>
    </row>
    <row r="1531" spans="8:10">
      <c r="H1531" t="e">
        <v>#N/A</v>
      </c>
      <c r="J1531" t="e">
        <v>#N/A</v>
      </c>
    </row>
    <row r="1532" spans="8:10">
      <c r="H1532" t="e">
        <v>#N/A</v>
      </c>
      <c r="J1532" t="e">
        <v>#N/A</v>
      </c>
    </row>
    <row r="1533" spans="8:10">
      <c r="H1533" t="e">
        <v>#N/A</v>
      </c>
      <c r="J1533" t="e">
        <v>#N/A</v>
      </c>
    </row>
    <row r="1534" spans="8:10">
      <c r="H1534" t="e">
        <v>#N/A</v>
      </c>
      <c r="J1534" t="e">
        <v>#N/A</v>
      </c>
    </row>
    <row r="1535" spans="8:10">
      <c r="H1535" t="e">
        <v>#N/A</v>
      </c>
      <c r="J1535" t="e">
        <v>#N/A</v>
      </c>
    </row>
    <row r="1536" spans="8:10">
      <c r="H1536" t="e">
        <v>#N/A</v>
      </c>
      <c r="J1536" t="e">
        <v>#N/A</v>
      </c>
    </row>
    <row r="1537" spans="8:10">
      <c r="H1537" t="e">
        <v>#N/A</v>
      </c>
      <c r="J1537" t="e">
        <v>#N/A</v>
      </c>
    </row>
    <row r="1538" spans="8:10">
      <c r="H1538" t="e">
        <v>#N/A</v>
      </c>
      <c r="J1538" t="e">
        <v>#N/A</v>
      </c>
    </row>
    <row r="1539" spans="8:10">
      <c r="H1539" t="e">
        <v>#N/A</v>
      </c>
      <c r="J1539" t="e">
        <v>#N/A</v>
      </c>
    </row>
    <row r="1540" spans="8:10">
      <c r="H1540" t="e">
        <v>#N/A</v>
      </c>
      <c r="J1540" t="e">
        <v>#N/A</v>
      </c>
    </row>
    <row r="1541" spans="8:10">
      <c r="H1541" t="e">
        <v>#N/A</v>
      </c>
      <c r="J1541" t="e">
        <v>#N/A</v>
      </c>
    </row>
    <row r="1542" spans="8:10">
      <c r="H1542" t="e">
        <v>#N/A</v>
      </c>
      <c r="J1542" t="e">
        <v>#N/A</v>
      </c>
    </row>
    <row r="1543" spans="8:10">
      <c r="H1543" t="e">
        <v>#N/A</v>
      </c>
      <c r="J1543" t="e">
        <v>#N/A</v>
      </c>
    </row>
    <row r="1544" spans="8:10">
      <c r="H1544" t="e">
        <v>#N/A</v>
      </c>
      <c r="J1544" t="e">
        <v>#N/A</v>
      </c>
    </row>
    <row r="1545" spans="8:10">
      <c r="H1545" t="e">
        <v>#N/A</v>
      </c>
      <c r="J1545" t="e">
        <v>#N/A</v>
      </c>
    </row>
    <row r="1546" spans="8:10">
      <c r="H1546" t="e">
        <v>#N/A</v>
      </c>
      <c r="J1546" t="e">
        <v>#N/A</v>
      </c>
    </row>
    <row r="1547" spans="8:10">
      <c r="H1547" t="e">
        <v>#N/A</v>
      </c>
      <c r="J1547" t="e">
        <v>#N/A</v>
      </c>
    </row>
    <row r="1548" spans="8:10">
      <c r="H1548" t="e">
        <v>#N/A</v>
      </c>
      <c r="J1548" t="e">
        <v>#N/A</v>
      </c>
    </row>
    <row r="1549" spans="8:10">
      <c r="H1549" t="e">
        <v>#N/A</v>
      </c>
      <c r="J1549" t="e">
        <v>#N/A</v>
      </c>
    </row>
    <row r="1550" spans="8:10">
      <c r="H1550" t="e">
        <v>#N/A</v>
      </c>
      <c r="J1550" t="e">
        <v>#N/A</v>
      </c>
    </row>
    <row r="1551" spans="8:10">
      <c r="H1551" t="e">
        <v>#N/A</v>
      </c>
      <c r="J1551" t="e">
        <v>#N/A</v>
      </c>
    </row>
    <row r="1552" spans="8:10">
      <c r="H1552" t="e">
        <v>#N/A</v>
      </c>
      <c r="J1552" t="e">
        <v>#N/A</v>
      </c>
    </row>
    <row r="1553" spans="8:10">
      <c r="H1553" t="e">
        <v>#N/A</v>
      </c>
      <c r="J1553" t="e">
        <v>#N/A</v>
      </c>
    </row>
    <row r="1554" spans="8:10">
      <c r="H1554" t="e">
        <v>#N/A</v>
      </c>
      <c r="J1554" t="e">
        <v>#N/A</v>
      </c>
    </row>
    <row r="1555" spans="8:10">
      <c r="H1555" t="e">
        <v>#N/A</v>
      </c>
      <c r="J1555" t="e">
        <v>#N/A</v>
      </c>
    </row>
    <row r="1556" spans="8:10">
      <c r="H1556" t="e">
        <v>#N/A</v>
      </c>
      <c r="J1556" t="e">
        <v>#N/A</v>
      </c>
    </row>
    <row r="1557" spans="8:10">
      <c r="H1557" t="e">
        <v>#N/A</v>
      </c>
      <c r="J1557" t="e">
        <v>#N/A</v>
      </c>
    </row>
    <row r="1558" spans="8:10">
      <c r="H1558" t="e">
        <v>#N/A</v>
      </c>
      <c r="J1558" t="e">
        <v>#N/A</v>
      </c>
    </row>
    <row r="1559" spans="8:10">
      <c r="H1559" t="e">
        <v>#N/A</v>
      </c>
      <c r="J1559" t="e">
        <v>#N/A</v>
      </c>
    </row>
    <row r="1560" spans="8:10">
      <c r="H1560" t="e">
        <v>#N/A</v>
      </c>
      <c r="J1560" t="e">
        <v>#N/A</v>
      </c>
    </row>
    <row r="1561" spans="8:10">
      <c r="H1561" t="e">
        <v>#N/A</v>
      </c>
      <c r="J1561" t="e">
        <v>#N/A</v>
      </c>
    </row>
    <row r="1562" spans="8:10">
      <c r="H1562" t="e">
        <v>#N/A</v>
      </c>
      <c r="J1562" t="e">
        <v>#N/A</v>
      </c>
    </row>
    <row r="1563" spans="8:10">
      <c r="H1563" t="e">
        <v>#N/A</v>
      </c>
      <c r="J1563" t="e">
        <v>#N/A</v>
      </c>
    </row>
    <row r="1564" spans="8:10">
      <c r="H1564" t="e">
        <v>#N/A</v>
      </c>
      <c r="J1564" t="e">
        <v>#N/A</v>
      </c>
    </row>
    <row r="1565" spans="8:10">
      <c r="H1565" t="e">
        <v>#N/A</v>
      </c>
      <c r="J1565" t="e">
        <v>#N/A</v>
      </c>
    </row>
    <row r="1566" spans="8:10">
      <c r="H1566" t="e">
        <v>#N/A</v>
      </c>
      <c r="J1566" t="e">
        <v>#N/A</v>
      </c>
    </row>
    <row r="1567" spans="8:10">
      <c r="H1567" t="e">
        <v>#N/A</v>
      </c>
      <c r="J1567" t="e">
        <v>#N/A</v>
      </c>
    </row>
    <row r="1568" spans="8:10">
      <c r="H1568" t="e">
        <v>#N/A</v>
      </c>
      <c r="J1568" t="e">
        <v>#N/A</v>
      </c>
    </row>
    <row r="1569" spans="8:10">
      <c r="H1569" t="e">
        <v>#N/A</v>
      </c>
      <c r="J1569" t="e">
        <v>#N/A</v>
      </c>
    </row>
    <row r="1570" spans="8:10">
      <c r="H1570" t="e">
        <v>#N/A</v>
      </c>
      <c r="J1570" t="e">
        <v>#N/A</v>
      </c>
    </row>
    <row r="1571" spans="8:10">
      <c r="H1571" t="e">
        <v>#N/A</v>
      </c>
      <c r="J1571" t="e">
        <v>#N/A</v>
      </c>
    </row>
    <row r="1572" spans="8:10">
      <c r="H1572" t="e">
        <v>#N/A</v>
      </c>
      <c r="J1572" t="e">
        <v>#N/A</v>
      </c>
    </row>
    <row r="1573" spans="8:10">
      <c r="H1573" t="e">
        <v>#N/A</v>
      </c>
      <c r="J1573" t="e">
        <v>#N/A</v>
      </c>
    </row>
    <row r="1574" spans="8:10">
      <c r="H1574" t="e">
        <v>#N/A</v>
      </c>
      <c r="J1574" t="e">
        <v>#N/A</v>
      </c>
    </row>
    <row r="1575" spans="8:10">
      <c r="H1575" t="e">
        <v>#N/A</v>
      </c>
      <c r="J1575" t="e">
        <v>#N/A</v>
      </c>
    </row>
    <row r="1576" spans="8:10">
      <c r="H1576" t="e">
        <v>#N/A</v>
      </c>
      <c r="J1576" t="e">
        <v>#N/A</v>
      </c>
    </row>
    <row r="1577" spans="8:10">
      <c r="H1577" t="e">
        <v>#N/A</v>
      </c>
      <c r="J1577" t="e">
        <v>#N/A</v>
      </c>
    </row>
    <row r="1578" spans="8:10">
      <c r="H1578" t="e">
        <v>#N/A</v>
      </c>
      <c r="J1578" t="e">
        <v>#N/A</v>
      </c>
    </row>
    <row r="1579" spans="8:10">
      <c r="H1579" t="e">
        <v>#N/A</v>
      </c>
      <c r="J1579" t="e">
        <v>#N/A</v>
      </c>
    </row>
    <row r="1580" spans="8:10">
      <c r="H1580" t="e">
        <v>#N/A</v>
      </c>
      <c r="J1580" t="e">
        <v>#N/A</v>
      </c>
    </row>
    <row r="1581" spans="8:10">
      <c r="H1581" t="e">
        <v>#N/A</v>
      </c>
      <c r="J1581" t="e">
        <v>#N/A</v>
      </c>
    </row>
    <row r="1582" spans="8:10">
      <c r="H1582" t="e">
        <v>#N/A</v>
      </c>
      <c r="J1582" t="e">
        <v>#N/A</v>
      </c>
    </row>
    <row r="1583" spans="8:10">
      <c r="H1583" t="e">
        <v>#N/A</v>
      </c>
      <c r="J1583" t="e">
        <v>#N/A</v>
      </c>
    </row>
    <row r="1584" spans="8:10">
      <c r="H1584" t="e">
        <v>#N/A</v>
      </c>
      <c r="J1584" t="e">
        <v>#N/A</v>
      </c>
    </row>
    <row r="1585" spans="8:10">
      <c r="H1585" t="e">
        <v>#N/A</v>
      </c>
      <c r="J1585" t="e">
        <v>#N/A</v>
      </c>
    </row>
    <row r="1586" spans="8:10">
      <c r="H1586" t="e">
        <v>#N/A</v>
      </c>
      <c r="J1586" t="e">
        <v>#N/A</v>
      </c>
    </row>
    <row r="1587" spans="8:10">
      <c r="H1587" t="e">
        <v>#N/A</v>
      </c>
      <c r="J1587" t="e">
        <v>#N/A</v>
      </c>
    </row>
    <row r="1588" spans="8:10">
      <c r="H1588" t="e">
        <v>#N/A</v>
      </c>
      <c r="J1588" t="e">
        <v>#N/A</v>
      </c>
    </row>
    <row r="1589" spans="8:10">
      <c r="H1589" t="e">
        <v>#N/A</v>
      </c>
      <c r="J1589" t="e">
        <v>#N/A</v>
      </c>
    </row>
    <row r="1590" spans="8:10">
      <c r="H1590" t="e">
        <v>#N/A</v>
      </c>
      <c r="J1590" t="e">
        <v>#N/A</v>
      </c>
    </row>
    <row r="1591" spans="8:10">
      <c r="H1591" t="e">
        <v>#N/A</v>
      </c>
      <c r="J1591" t="e">
        <v>#N/A</v>
      </c>
    </row>
    <row r="1592" spans="8:10">
      <c r="H1592" t="e">
        <v>#N/A</v>
      </c>
      <c r="J1592" t="e">
        <v>#N/A</v>
      </c>
    </row>
    <row r="1593" spans="8:10">
      <c r="H1593" t="e">
        <v>#N/A</v>
      </c>
      <c r="J1593" t="e">
        <v>#N/A</v>
      </c>
    </row>
    <row r="1594" spans="8:10">
      <c r="H1594" t="e">
        <v>#N/A</v>
      </c>
      <c r="J1594" t="e">
        <v>#N/A</v>
      </c>
    </row>
    <row r="1595" spans="8:10">
      <c r="H1595" t="e">
        <v>#N/A</v>
      </c>
      <c r="J1595" t="e">
        <v>#N/A</v>
      </c>
    </row>
    <row r="1596" spans="8:10">
      <c r="H1596" t="e">
        <v>#N/A</v>
      </c>
      <c r="J1596" t="e">
        <v>#N/A</v>
      </c>
    </row>
    <row r="1597" spans="8:10">
      <c r="H1597" t="e">
        <v>#N/A</v>
      </c>
      <c r="J1597" t="e">
        <v>#N/A</v>
      </c>
    </row>
    <row r="1598" spans="8:10">
      <c r="H1598" t="e">
        <v>#N/A</v>
      </c>
      <c r="J1598" t="e">
        <v>#N/A</v>
      </c>
    </row>
    <row r="1599" spans="8:10">
      <c r="H1599" t="e">
        <v>#N/A</v>
      </c>
      <c r="J1599" t="e">
        <v>#N/A</v>
      </c>
    </row>
    <row r="1600" spans="8:10">
      <c r="H1600" t="e">
        <v>#N/A</v>
      </c>
      <c r="J1600" t="e">
        <v>#N/A</v>
      </c>
    </row>
    <row r="1601" spans="8:10">
      <c r="H1601" t="e">
        <v>#N/A</v>
      </c>
      <c r="J1601" t="e">
        <v>#N/A</v>
      </c>
    </row>
    <row r="1602" spans="8:10">
      <c r="H1602" t="e">
        <v>#N/A</v>
      </c>
      <c r="J1602" t="e">
        <v>#N/A</v>
      </c>
    </row>
    <row r="1603" spans="8:10">
      <c r="H1603" t="e">
        <v>#N/A</v>
      </c>
      <c r="J1603" t="e">
        <v>#N/A</v>
      </c>
    </row>
    <row r="1604" spans="8:10">
      <c r="H1604" t="e">
        <v>#N/A</v>
      </c>
      <c r="J1604" t="e">
        <v>#N/A</v>
      </c>
    </row>
    <row r="1605" spans="8:10">
      <c r="H1605" t="e">
        <v>#N/A</v>
      </c>
      <c r="J1605" t="e">
        <v>#N/A</v>
      </c>
    </row>
    <row r="1606" spans="8:10">
      <c r="H1606" t="e">
        <v>#N/A</v>
      </c>
      <c r="J1606" t="e">
        <v>#N/A</v>
      </c>
    </row>
    <row r="1607" spans="8:10">
      <c r="H1607" t="e">
        <v>#N/A</v>
      </c>
      <c r="J1607" t="e">
        <v>#N/A</v>
      </c>
    </row>
    <row r="1608" spans="8:10">
      <c r="H1608" t="e">
        <v>#N/A</v>
      </c>
      <c r="J1608" t="e">
        <v>#N/A</v>
      </c>
    </row>
    <row r="1609" spans="8:10">
      <c r="H1609" t="e">
        <v>#N/A</v>
      </c>
      <c r="J1609" t="e">
        <v>#N/A</v>
      </c>
    </row>
    <row r="1610" spans="8:10">
      <c r="H1610" t="e">
        <v>#N/A</v>
      </c>
      <c r="J1610" t="e">
        <v>#N/A</v>
      </c>
    </row>
    <row r="1611" spans="8:10">
      <c r="H1611" t="e">
        <v>#N/A</v>
      </c>
      <c r="J1611" t="e">
        <v>#N/A</v>
      </c>
    </row>
    <row r="1612" spans="8:10">
      <c r="H1612" t="e">
        <v>#N/A</v>
      </c>
      <c r="J1612" t="e">
        <v>#N/A</v>
      </c>
    </row>
    <row r="1613" spans="8:10">
      <c r="H1613" t="e">
        <v>#N/A</v>
      </c>
      <c r="J1613" t="e">
        <v>#N/A</v>
      </c>
    </row>
    <row r="1614" spans="8:10">
      <c r="H1614" t="e">
        <v>#N/A</v>
      </c>
      <c r="J1614" t="e">
        <v>#N/A</v>
      </c>
    </row>
    <row r="1615" spans="8:10">
      <c r="H1615" t="e">
        <v>#N/A</v>
      </c>
      <c r="J1615" t="e">
        <v>#N/A</v>
      </c>
    </row>
    <row r="1616" spans="8:10">
      <c r="H1616" t="e">
        <v>#N/A</v>
      </c>
      <c r="J1616" t="e">
        <v>#N/A</v>
      </c>
    </row>
    <row r="1617" spans="8:10">
      <c r="H1617" t="e">
        <v>#N/A</v>
      </c>
      <c r="J1617" t="e">
        <v>#N/A</v>
      </c>
    </row>
    <row r="1618" spans="8:10">
      <c r="H1618" t="e">
        <v>#N/A</v>
      </c>
      <c r="J1618" t="e">
        <v>#N/A</v>
      </c>
    </row>
    <row r="1619" spans="8:10">
      <c r="H1619" t="e">
        <v>#N/A</v>
      </c>
      <c r="J1619" t="e">
        <v>#N/A</v>
      </c>
    </row>
    <row r="1620" spans="8:10">
      <c r="H1620" t="e">
        <v>#N/A</v>
      </c>
      <c r="J1620" t="e">
        <v>#N/A</v>
      </c>
    </row>
    <row r="1621" spans="8:10">
      <c r="H1621" t="e">
        <v>#N/A</v>
      </c>
      <c r="J1621" t="e">
        <v>#N/A</v>
      </c>
    </row>
    <row r="1622" spans="8:10">
      <c r="H1622" t="e">
        <v>#N/A</v>
      </c>
      <c r="J1622" t="e">
        <v>#N/A</v>
      </c>
    </row>
    <row r="1623" spans="8:10">
      <c r="H1623" t="e">
        <v>#N/A</v>
      </c>
      <c r="J1623" t="e">
        <v>#N/A</v>
      </c>
    </row>
    <row r="1624" spans="8:10">
      <c r="H1624" t="e">
        <v>#N/A</v>
      </c>
      <c r="J1624" t="e">
        <v>#N/A</v>
      </c>
    </row>
    <row r="1625" spans="8:10">
      <c r="H1625" t="e">
        <v>#N/A</v>
      </c>
      <c r="J1625" t="e">
        <v>#N/A</v>
      </c>
    </row>
    <row r="1626" spans="8:10">
      <c r="H1626" t="e">
        <v>#N/A</v>
      </c>
      <c r="J1626" t="e">
        <v>#N/A</v>
      </c>
    </row>
    <row r="1627" spans="8:10">
      <c r="H1627" t="e">
        <v>#N/A</v>
      </c>
      <c r="J1627" t="e">
        <v>#N/A</v>
      </c>
    </row>
    <row r="1628" spans="8:10">
      <c r="H1628" t="e">
        <v>#N/A</v>
      </c>
      <c r="J1628" t="e">
        <v>#N/A</v>
      </c>
    </row>
    <row r="1629" spans="8:10">
      <c r="H1629" t="e">
        <v>#N/A</v>
      </c>
      <c r="J1629" t="e">
        <v>#N/A</v>
      </c>
    </row>
    <row r="1630" spans="8:10">
      <c r="H1630" t="e">
        <v>#N/A</v>
      </c>
      <c r="J1630" t="e">
        <v>#N/A</v>
      </c>
    </row>
    <row r="1631" spans="8:10">
      <c r="H1631" t="e">
        <v>#N/A</v>
      </c>
      <c r="J1631" t="e">
        <v>#N/A</v>
      </c>
    </row>
    <row r="1632" spans="8:10">
      <c r="H1632" t="e">
        <v>#N/A</v>
      </c>
      <c r="J1632" t="e">
        <v>#N/A</v>
      </c>
    </row>
    <row r="1633" spans="8:10">
      <c r="H1633" t="e">
        <v>#N/A</v>
      </c>
      <c r="J1633" t="e">
        <v>#N/A</v>
      </c>
    </row>
    <row r="1634" spans="8:10">
      <c r="H1634" t="e">
        <v>#N/A</v>
      </c>
      <c r="J1634" t="e">
        <v>#N/A</v>
      </c>
    </row>
    <row r="1635" spans="8:10">
      <c r="H1635" t="e">
        <v>#N/A</v>
      </c>
      <c r="J1635" t="e">
        <v>#N/A</v>
      </c>
    </row>
    <row r="1636" spans="8:10">
      <c r="H1636" t="e">
        <v>#N/A</v>
      </c>
      <c r="J1636" t="e">
        <v>#N/A</v>
      </c>
    </row>
    <row r="1637" spans="8:10">
      <c r="H1637" t="e">
        <v>#N/A</v>
      </c>
      <c r="J1637" t="e">
        <v>#N/A</v>
      </c>
    </row>
    <row r="1638" spans="8:10">
      <c r="H1638" t="e">
        <v>#N/A</v>
      </c>
      <c r="J1638" t="e">
        <v>#N/A</v>
      </c>
    </row>
    <row r="1639" spans="8:10">
      <c r="H1639" t="e">
        <v>#N/A</v>
      </c>
      <c r="J1639" t="e">
        <v>#N/A</v>
      </c>
    </row>
    <row r="1640" spans="8:10">
      <c r="H1640" t="e">
        <v>#N/A</v>
      </c>
      <c r="J1640" t="e">
        <v>#N/A</v>
      </c>
    </row>
    <row r="1641" spans="8:10">
      <c r="H1641" t="e">
        <v>#N/A</v>
      </c>
      <c r="J1641" t="e">
        <v>#N/A</v>
      </c>
    </row>
    <row r="1642" spans="8:10">
      <c r="H1642" t="e">
        <v>#N/A</v>
      </c>
      <c r="J1642" t="e">
        <v>#N/A</v>
      </c>
    </row>
    <row r="1643" spans="8:10">
      <c r="H1643" t="e">
        <v>#N/A</v>
      </c>
      <c r="J1643" t="e">
        <v>#N/A</v>
      </c>
    </row>
    <row r="1644" spans="8:10">
      <c r="H1644" t="e">
        <v>#N/A</v>
      </c>
      <c r="J1644" t="e">
        <v>#N/A</v>
      </c>
    </row>
    <row r="1645" spans="8:10">
      <c r="H1645" t="e">
        <v>#N/A</v>
      </c>
      <c r="J1645" t="e">
        <v>#N/A</v>
      </c>
    </row>
    <row r="1646" spans="8:10">
      <c r="H1646" t="e">
        <v>#N/A</v>
      </c>
      <c r="J1646" t="e">
        <v>#N/A</v>
      </c>
    </row>
    <row r="1647" spans="8:10">
      <c r="H1647" t="e">
        <v>#N/A</v>
      </c>
      <c r="J1647" t="e">
        <v>#N/A</v>
      </c>
    </row>
    <row r="1648" spans="8:10">
      <c r="H1648" t="e">
        <v>#N/A</v>
      </c>
      <c r="J1648" t="e">
        <v>#N/A</v>
      </c>
    </row>
    <row r="1649" spans="8:10">
      <c r="H1649" t="e">
        <v>#N/A</v>
      </c>
      <c r="J1649" t="e">
        <v>#N/A</v>
      </c>
    </row>
    <row r="1650" spans="8:10">
      <c r="H1650" t="e">
        <v>#N/A</v>
      </c>
      <c r="J1650" t="e">
        <v>#N/A</v>
      </c>
    </row>
    <row r="1651" spans="8:10">
      <c r="H1651" t="e">
        <v>#N/A</v>
      </c>
      <c r="J1651" t="e">
        <v>#N/A</v>
      </c>
    </row>
    <row r="1652" spans="8:10">
      <c r="H1652" t="e">
        <v>#N/A</v>
      </c>
      <c r="J1652" t="e">
        <v>#N/A</v>
      </c>
    </row>
    <row r="1653" spans="8:10">
      <c r="H1653" t="e">
        <v>#N/A</v>
      </c>
      <c r="J1653" t="e">
        <v>#N/A</v>
      </c>
    </row>
    <row r="1654" spans="8:10">
      <c r="H1654" t="e">
        <v>#N/A</v>
      </c>
      <c r="J1654" t="e">
        <v>#N/A</v>
      </c>
    </row>
    <row r="1655" spans="8:10">
      <c r="H1655" t="e">
        <v>#N/A</v>
      </c>
      <c r="J1655" t="e">
        <v>#N/A</v>
      </c>
    </row>
    <row r="1656" spans="8:10">
      <c r="H1656" t="e">
        <v>#N/A</v>
      </c>
      <c r="J1656" t="e">
        <v>#N/A</v>
      </c>
    </row>
    <row r="1657" spans="8:10">
      <c r="H1657" t="e">
        <v>#N/A</v>
      </c>
      <c r="J1657" t="e">
        <v>#N/A</v>
      </c>
    </row>
    <row r="1658" spans="8:10">
      <c r="H1658" t="e">
        <v>#N/A</v>
      </c>
      <c r="J1658" t="e">
        <v>#N/A</v>
      </c>
    </row>
    <row r="1659" spans="8:10">
      <c r="H1659" t="e">
        <v>#N/A</v>
      </c>
      <c r="J1659" t="e">
        <v>#N/A</v>
      </c>
    </row>
    <row r="1660" spans="8:10">
      <c r="H1660" t="e">
        <v>#N/A</v>
      </c>
      <c r="J1660" t="e">
        <v>#N/A</v>
      </c>
    </row>
    <row r="1661" spans="8:10">
      <c r="H1661" t="e">
        <v>#N/A</v>
      </c>
      <c r="J1661" t="e">
        <v>#N/A</v>
      </c>
    </row>
    <row r="1662" spans="8:10">
      <c r="H1662" t="e">
        <v>#N/A</v>
      </c>
      <c r="J1662" t="e">
        <v>#N/A</v>
      </c>
    </row>
    <row r="1663" spans="8:10">
      <c r="H1663" t="e">
        <v>#N/A</v>
      </c>
      <c r="J1663" t="e">
        <v>#N/A</v>
      </c>
    </row>
    <row r="1664" spans="8:10">
      <c r="H1664" t="e">
        <v>#N/A</v>
      </c>
      <c r="J1664" t="e">
        <v>#N/A</v>
      </c>
    </row>
    <row r="1665" spans="8:10">
      <c r="H1665" t="e">
        <v>#N/A</v>
      </c>
      <c r="J1665" t="e">
        <v>#N/A</v>
      </c>
    </row>
    <row r="1666" spans="8:10">
      <c r="H1666" t="e">
        <v>#N/A</v>
      </c>
      <c r="J1666" t="e">
        <v>#N/A</v>
      </c>
    </row>
    <row r="1667" spans="8:10">
      <c r="H1667" t="e">
        <v>#N/A</v>
      </c>
      <c r="J1667" t="e">
        <v>#N/A</v>
      </c>
    </row>
    <row r="1668" spans="8:10">
      <c r="H1668" t="e">
        <v>#N/A</v>
      </c>
      <c r="J1668" t="e">
        <v>#N/A</v>
      </c>
    </row>
    <row r="1669" spans="8:10">
      <c r="H1669" t="e">
        <v>#N/A</v>
      </c>
      <c r="J1669" t="e">
        <v>#N/A</v>
      </c>
    </row>
    <row r="1670" spans="8:10">
      <c r="H1670" t="e">
        <v>#N/A</v>
      </c>
      <c r="J1670" t="e">
        <v>#N/A</v>
      </c>
    </row>
    <row r="1671" spans="8:10">
      <c r="H1671" t="e">
        <v>#N/A</v>
      </c>
      <c r="J1671" t="e">
        <v>#N/A</v>
      </c>
    </row>
    <row r="1672" spans="8:10">
      <c r="H1672" t="e">
        <v>#N/A</v>
      </c>
      <c r="J1672" t="e">
        <v>#N/A</v>
      </c>
    </row>
    <row r="1673" spans="8:10">
      <c r="H1673" t="e">
        <v>#N/A</v>
      </c>
      <c r="J1673" t="e">
        <v>#N/A</v>
      </c>
    </row>
    <row r="1674" spans="8:10">
      <c r="H1674" t="e">
        <v>#N/A</v>
      </c>
      <c r="J1674" t="e">
        <v>#N/A</v>
      </c>
    </row>
    <row r="1675" spans="8:10">
      <c r="H1675" t="e">
        <v>#N/A</v>
      </c>
      <c r="J1675" t="e">
        <v>#N/A</v>
      </c>
    </row>
    <row r="1676" spans="8:10">
      <c r="H1676" t="e">
        <v>#N/A</v>
      </c>
      <c r="J1676" t="e">
        <v>#N/A</v>
      </c>
    </row>
    <row r="1677" spans="8:10">
      <c r="H1677" t="e">
        <v>#N/A</v>
      </c>
      <c r="J1677" t="e">
        <v>#N/A</v>
      </c>
    </row>
    <row r="1678" spans="8:10">
      <c r="H1678" t="e">
        <v>#N/A</v>
      </c>
      <c r="J1678" t="e">
        <v>#N/A</v>
      </c>
    </row>
    <row r="1679" spans="8:10">
      <c r="H1679" t="e">
        <v>#N/A</v>
      </c>
      <c r="J1679" t="e">
        <v>#N/A</v>
      </c>
    </row>
    <row r="1680" spans="8:10">
      <c r="H1680" t="e">
        <v>#N/A</v>
      </c>
      <c r="J1680" t="e">
        <v>#N/A</v>
      </c>
    </row>
    <row r="1681" spans="8:10">
      <c r="H1681" t="e">
        <v>#N/A</v>
      </c>
      <c r="J1681" t="e">
        <v>#N/A</v>
      </c>
    </row>
    <row r="1682" spans="8:10">
      <c r="H1682" t="e">
        <v>#N/A</v>
      </c>
      <c r="J1682" t="e">
        <v>#N/A</v>
      </c>
    </row>
    <row r="1683" spans="8:10">
      <c r="H1683" t="e">
        <v>#N/A</v>
      </c>
      <c r="J1683" t="e">
        <v>#N/A</v>
      </c>
    </row>
    <row r="1684" spans="8:10">
      <c r="H1684" t="e">
        <v>#N/A</v>
      </c>
      <c r="J1684" t="e">
        <v>#N/A</v>
      </c>
    </row>
    <row r="1685" spans="8:10">
      <c r="H1685" t="e">
        <v>#N/A</v>
      </c>
      <c r="J1685" t="e">
        <v>#N/A</v>
      </c>
    </row>
    <row r="1686" spans="8:10">
      <c r="H1686" t="e">
        <v>#N/A</v>
      </c>
      <c r="J1686" t="e">
        <v>#N/A</v>
      </c>
    </row>
    <row r="1687" spans="8:10">
      <c r="H1687" t="e">
        <v>#N/A</v>
      </c>
      <c r="J1687" t="e">
        <v>#N/A</v>
      </c>
    </row>
    <row r="1688" spans="8:10">
      <c r="H1688" t="e">
        <v>#N/A</v>
      </c>
      <c r="J1688" t="e">
        <v>#N/A</v>
      </c>
    </row>
    <row r="1689" spans="8:10">
      <c r="H1689" t="e">
        <v>#N/A</v>
      </c>
      <c r="J1689" t="e">
        <v>#N/A</v>
      </c>
    </row>
    <row r="1690" spans="8:10">
      <c r="H1690" t="e">
        <v>#N/A</v>
      </c>
      <c r="J1690" t="e">
        <v>#N/A</v>
      </c>
    </row>
    <row r="1691" spans="8:10">
      <c r="H1691" t="e">
        <v>#N/A</v>
      </c>
      <c r="J1691" t="e">
        <v>#N/A</v>
      </c>
    </row>
    <row r="1692" spans="8:10">
      <c r="H1692" t="e">
        <v>#N/A</v>
      </c>
      <c r="J1692" t="e">
        <v>#N/A</v>
      </c>
    </row>
    <row r="1693" spans="8:10">
      <c r="H1693" t="e">
        <v>#N/A</v>
      </c>
      <c r="J1693" t="e">
        <v>#N/A</v>
      </c>
    </row>
    <row r="1694" spans="8:10">
      <c r="H1694" t="e">
        <v>#N/A</v>
      </c>
      <c r="J1694" t="e">
        <v>#N/A</v>
      </c>
    </row>
    <row r="1695" spans="8:10">
      <c r="H1695" t="e">
        <v>#N/A</v>
      </c>
      <c r="J1695" t="e">
        <v>#N/A</v>
      </c>
    </row>
    <row r="1696" spans="8:10">
      <c r="H1696" t="e">
        <v>#N/A</v>
      </c>
      <c r="J1696" t="e">
        <v>#N/A</v>
      </c>
    </row>
    <row r="1697" spans="8:10">
      <c r="H1697" t="e">
        <v>#N/A</v>
      </c>
      <c r="J1697" t="e">
        <v>#N/A</v>
      </c>
    </row>
    <row r="1698" spans="8:10">
      <c r="H1698" t="e">
        <v>#N/A</v>
      </c>
      <c r="J1698" t="e">
        <v>#N/A</v>
      </c>
    </row>
    <row r="1699" spans="8:10">
      <c r="H1699" t="e">
        <v>#N/A</v>
      </c>
      <c r="J1699" t="e">
        <v>#N/A</v>
      </c>
    </row>
    <row r="1700" spans="8:10">
      <c r="H1700" t="e">
        <v>#N/A</v>
      </c>
      <c r="J1700" t="e">
        <v>#N/A</v>
      </c>
    </row>
    <row r="1701" spans="8:10">
      <c r="H1701" t="e">
        <v>#N/A</v>
      </c>
      <c r="J1701" t="e">
        <v>#N/A</v>
      </c>
    </row>
    <row r="1702" spans="8:10">
      <c r="H1702" t="e">
        <v>#N/A</v>
      </c>
      <c r="J1702" t="e">
        <v>#N/A</v>
      </c>
    </row>
    <row r="1703" spans="8:10">
      <c r="H1703" t="e">
        <v>#N/A</v>
      </c>
      <c r="J1703" t="e">
        <v>#N/A</v>
      </c>
    </row>
    <row r="1704" spans="8:10">
      <c r="H1704" t="e">
        <v>#N/A</v>
      </c>
      <c r="J1704" t="e">
        <v>#N/A</v>
      </c>
    </row>
    <row r="1705" spans="8:10">
      <c r="H1705" t="e">
        <v>#N/A</v>
      </c>
      <c r="J1705" t="e">
        <v>#N/A</v>
      </c>
    </row>
    <row r="1706" spans="8:10">
      <c r="H1706" t="e">
        <v>#N/A</v>
      </c>
      <c r="J1706" t="e">
        <v>#N/A</v>
      </c>
    </row>
    <row r="1707" spans="8:10">
      <c r="H1707" t="e">
        <v>#N/A</v>
      </c>
      <c r="J1707" t="e">
        <v>#N/A</v>
      </c>
    </row>
    <row r="1708" spans="8:10">
      <c r="H1708" t="e">
        <v>#N/A</v>
      </c>
      <c r="J1708" t="e">
        <v>#N/A</v>
      </c>
    </row>
    <row r="1709" spans="8:10">
      <c r="H1709" t="e">
        <v>#N/A</v>
      </c>
      <c r="J1709" t="e">
        <v>#N/A</v>
      </c>
    </row>
    <row r="1710" spans="8:10">
      <c r="H1710" t="e">
        <v>#N/A</v>
      </c>
      <c r="J1710" t="e">
        <v>#N/A</v>
      </c>
    </row>
    <row r="1711" spans="8:10">
      <c r="H1711" t="e">
        <v>#N/A</v>
      </c>
      <c r="J1711" t="e">
        <v>#N/A</v>
      </c>
    </row>
    <row r="1712" spans="8:10">
      <c r="H1712" t="e">
        <v>#N/A</v>
      </c>
      <c r="J1712" t="e">
        <v>#N/A</v>
      </c>
    </row>
    <row r="1713" spans="8:10">
      <c r="H1713" t="e">
        <v>#N/A</v>
      </c>
      <c r="J1713" t="e">
        <v>#N/A</v>
      </c>
    </row>
    <row r="1714" spans="8:10">
      <c r="H1714" t="e">
        <v>#N/A</v>
      </c>
      <c r="J1714" t="e">
        <v>#N/A</v>
      </c>
    </row>
    <row r="1715" spans="8:10">
      <c r="H1715" t="e">
        <v>#N/A</v>
      </c>
      <c r="J1715" t="e">
        <v>#N/A</v>
      </c>
    </row>
    <row r="1716" spans="8:10">
      <c r="H1716" t="e">
        <v>#N/A</v>
      </c>
      <c r="J1716" t="e">
        <v>#N/A</v>
      </c>
    </row>
    <row r="1717" spans="8:10">
      <c r="H1717" t="e">
        <v>#N/A</v>
      </c>
      <c r="J1717" t="e">
        <v>#N/A</v>
      </c>
    </row>
    <row r="1718" spans="8:10">
      <c r="H1718" t="e">
        <v>#N/A</v>
      </c>
      <c r="J1718" t="e">
        <v>#N/A</v>
      </c>
    </row>
    <row r="1719" spans="8:10">
      <c r="H1719" t="e">
        <v>#N/A</v>
      </c>
      <c r="J1719" t="e">
        <v>#N/A</v>
      </c>
    </row>
    <row r="1720" spans="8:10">
      <c r="H1720" t="e">
        <v>#N/A</v>
      </c>
      <c r="J1720" t="e">
        <v>#N/A</v>
      </c>
    </row>
    <row r="1721" spans="8:10">
      <c r="H1721" t="e">
        <v>#N/A</v>
      </c>
      <c r="J1721" t="e">
        <v>#N/A</v>
      </c>
    </row>
    <row r="1722" spans="8:10">
      <c r="H1722" t="e">
        <v>#N/A</v>
      </c>
      <c r="J1722" t="e">
        <v>#N/A</v>
      </c>
    </row>
    <row r="1723" spans="8:10">
      <c r="H1723" t="e">
        <v>#N/A</v>
      </c>
      <c r="J1723" t="e">
        <v>#N/A</v>
      </c>
    </row>
    <row r="1724" spans="8:10">
      <c r="H1724" t="e">
        <v>#N/A</v>
      </c>
      <c r="J1724" t="e">
        <v>#N/A</v>
      </c>
    </row>
    <row r="1725" spans="8:10">
      <c r="H1725" t="e">
        <v>#N/A</v>
      </c>
      <c r="J1725" t="e">
        <v>#N/A</v>
      </c>
    </row>
    <row r="1726" spans="8:10">
      <c r="H1726" t="e">
        <v>#N/A</v>
      </c>
      <c r="J1726" t="e">
        <v>#N/A</v>
      </c>
    </row>
    <row r="1727" spans="8:10">
      <c r="H1727" t="e">
        <v>#N/A</v>
      </c>
      <c r="J1727" t="e">
        <v>#N/A</v>
      </c>
    </row>
    <row r="1728" spans="8:10">
      <c r="H1728" t="e">
        <v>#N/A</v>
      </c>
      <c r="J1728" t="e">
        <v>#N/A</v>
      </c>
    </row>
    <row r="1729" spans="8:10">
      <c r="H1729" t="e">
        <v>#N/A</v>
      </c>
      <c r="J1729" t="e">
        <v>#N/A</v>
      </c>
    </row>
    <row r="1730" spans="8:10">
      <c r="H1730" t="e">
        <v>#N/A</v>
      </c>
      <c r="J1730" t="e">
        <v>#N/A</v>
      </c>
    </row>
    <row r="1731" spans="8:10">
      <c r="H1731" t="e">
        <v>#N/A</v>
      </c>
      <c r="J1731" t="e">
        <v>#N/A</v>
      </c>
    </row>
    <row r="1732" spans="8:10">
      <c r="H1732" t="e">
        <v>#N/A</v>
      </c>
      <c r="J1732" t="e">
        <v>#N/A</v>
      </c>
    </row>
    <row r="1733" spans="8:10">
      <c r="H1733" t="e">
        <v>#N/A</v>
      </c>
      <c r="J1733" t="e">
        <v>#N/A</v>
      </c>
    </row>
    <row r="1734" spans="8:10">
      <c r="H1734" t="e">
        <v>#N/A</v>
      </c>
      <c r="J1734" t="e">
        <v>#N/A</v>
      </c>
    </row>
    <row r="1735" spans="8:10">
      <c r="H1735" t="e">
        <v>#N/A</v>
      </c>
      <c r="J1735" t="e">
        <v>#N/A</v>
      </c>
    </row>
    <row r="1736" spans="8:10">
      <c r="H1736" t="e">
        <v>#N/A</v>
      </c>
      <c r="J1736" t="e">
        <v>#N/A</v>
      </c>
    </row>
    <row r="1737" spans="8:10">
      <c r="H1737" t="e">
        <v>#N/A</v>
      </c>
      <c r="J1737" t="e">
        <v>#N/A</v>
      </c>
    </row>
    <row r="1738" spans="8:10">
      <c r="H1738" t="e">
        <v>#N/A</v>
      </c>
      <c r="J1738" t="e">
        <v>#N/A</v>
      </c>
    </row>
    <row r="1739" spans="8:10">
      <c r="H1739" t="e">
        <v>#N/A</v>
      </c>
      <c r="J1739" t="e">
        <v>#N/A</v>
      </c>
    </row>
    <row r="1740" spans="8:10">
      <c r="H1740" t="e">
        <v>#N/A</v>
      </c>
      <c r="J1740" t="e">
        <v>#N/A</v>
      </c>
    </row>
    <row r="1741" spans="8:10">
      <c r="H1741" t="e">
        <v>#N/A</v>
      </c>
      <c r="J1741" t="e">
        <v>#N/A</v>
      </c>
    </row>
    <row r="1742" spans="8:10">
      <c r="H1742" t="e">
        <v>#N/A</v>
      </c>
      <c r="J1742" t="e">
        <v>#N/A</v>
      </c>
    </row>
    <row r="1743" spans="8:10">
      <c r="H1743" t="e">
        <v>#N/A</v>
      </c>
      <c r="J1743" t="e">
        <v>#N/A</v>
      </c>
    </row>
    <row r="1744" spans="8:10">
      <c r="H1744" t="e">
        <v>#N/A</v>
      </c>
      <c r="J1744" t="e">
        <v>#N/A</v>
      </c>
    </row>
    <row r="1745" spans="8:10">
      <c r="H1745" t="e">
        <v>#N/A</v>
      </c>
      <c r="J1745" t="e">
        <v>#N/A</v>
      </c>
    </row>
    <row r="1746" spans="8:10">
      <c r="H1746" t="e">
        <v>#N/A</v>
      </c>
      <c r="J1746" t="e">
        <v>#N/A</v>
      </c>
    </row>
    <row r="1747" spans="8:10">
      <c r="H1747" t="e">
        <v>#N/A</v>
      </c>
      <c r="J1747" t="e">
        <v>#N/A</v>
      </c>
    </row>
    <row r="1748" spans="8:10">
      <c r="H1748" t="e">
        <v>#N/A</v>
      </c>
      <c r="J1748" t="e">
        <v>#N/A</v>
      </c>
    </row>
    <row r="1749" spans="8:10">
      <c r="H1749" t="e">
        <v>#N/A</v>
      </c>
      <c r="J1749" t="e">
        <v>#N/A</v>
      </c>
    </row>
    <row r="1750" spans="8:10">
      <c r="H1750" t="e">
        <v>#N/A</v>
      </c>
      <c r="J1750" t="e">
        <v>#N/A</v>
      </c>
    </row>
    <row r="1751" spans="8:10">
      <c r="H1751" t="e">
        <v>#N/A</v>
      </c>
      <c r="J1751" t="e">
        <v>#N/A</v>
      </c>
    </row>
    <row r="1752" spans="8:10">
      <c r="H1752" t="e">
        <v>#N/A</v>
      </c>
      <c r="J1752" t="e">
        <v>#N/A</v>
      </c>
    </row>
    <row r="1753" spans="8:10">
      <c r="H1753" t="e">
        <v>#N/A</v>
      </c>
      <c r="J1753" t="e">
        <v>#N/A</v>
      </c>
    </row>
    <row r="1754" spans="8:10">
      <c r="H1754" t="e">
        <v>#N/A</v>
      </c>
      <c r="J1754" t="e">
        <v>#N/A</v>
      </c>
    </row>
    <row r="1755" spans="8:10">
      <c r="H1755" t="e">
        <v>#N/A</v>
      </c>
      <c r="J1755" t="e">
        <v>#N/A</v>
      </c>
    </row>
    <row r="1756" spans="8:10">
      <c r="H1756" t="e">
        <v>#N/A</v>
      </c>
      <c r="J1756" t="e">
        <v>#N/A</v>
      </c>
    </row>
    <row r="1757" spans="8:10">
      <c r="H1757" t="e">
        <v>#N/A</v>
      </c>
      <c r="J1757" t="e">
        <v>#N/A</v>
      </c>
    </row>
    <row r="1758" spans="8:10">
      <c r="H1758" t="e">
        <v>#N/A</v>
      </c>
      <c r="J1758" t="e">
        <v>#N/A</v>
      </c>
    </row>
    <row r="1759" spans="8:10">
      <c r="H1759" t="e">
        <v>#N/A</v>
      </c>
      <c r="J1759" t="e">
        <v>#N/A</v>
      </c>
    </row>
    <row r="1760" spans="8:10">
      <c r="H1760" t="e">
        <v>#N/A</v>
      </c>
      <c r="J1760" t="e">
        <v>#N/A</v>
      </c>
    </row>
    <row r="1761" spans="8:10">
      <c r="H1761" t="e">
        <v>#N/A</v>
      </c>
      <c r="J1761" t="e">
        <v>#N/A</v>
      </c>
    </row>
    <row r="1762" spans="8:10">
      <c r="H1762" t="e">
        <v>#N/A</v>
      </c>
      <c r="J1762" t="e">
        <v>#N/A</v>
      </c>
    </row>
    <row r="1763" spans="8:10">
      <c r="H1763" t="e">
        <v>#N/A</v>
      </c>
      <c r="J1763" t="e">
        <v>#N/A</v>
      </c>
    </row>
    <row r="1764" spans="8:10">
      <c r="H1764" t="e">
        <v>#N/A</v>
      </c>
      <c r="J1764" t="e">
        <v>#N/A</v>
      </c>
    </row>
    <row r="1765" spans="8:10">
      <c r="H1765" t="e">
        <v>#N/A</v>
      </c>
      <c r="J1765" t="e">
        <v>#N/A</v>
      </c>
    </row>
    <row r="1766" spans="8:10">
      <c r="H1766" t="e">
        <v>#N/A</v>
      </c>
      <c r="J1766" t="e">
        <v>#N/A</v>
      </c>
    </row>
    <row r="1767" spans="8:10">
      <c r="H1767" t="e">
        <v>#N/A</v>
      </c>
      <c r="J1767" t="e">
        <v>#N/A</v>
      </c>
    </row>
    <row r="1768" spans="8:10">
      <c r="H1768" t="e">
        <v>#N/A</v>
      </c>
      <c r="J1768" t="e">
        <v>#N/A</v>
      </c>
    </row>
    <row r="1769" spans="8:10">
      <c r="H1769" t="e">
        <v>#N/A</v>
      </c>
      <c r="J1769" t="e">
        <v>#N/A</v>
      </c>
    </row>
    <row r="1770" spans="8:10">
      <c r="H1770" t="e">
        <v>#N/A</v>
      </c>
      <c r="J1770" t="e">
        <v>#N/A</v>
      </c>
    </row>
    <row r="1771" spans="8:10">
      <c r="H1771" t="e">
        <v>#N/A</v>
      </c>
      <c r="J1771" t="e">
        <v>#N/A</v>
      </c>
    </row>
    <row r="1772" spans="8:10">
      <c r="H1772" t="e">
        <v>#N/A</v>
      </c>
      <c r="J1772" t="e">
        <v>#N/A</v>
      </c>
    </row>
    <row r="1773" spans="8:10">
      <c r="H1773" t="e">
        <v>#N/A</v>
      </c>
      <c r="J1773" t="e">
        <v>#N/A</v>
      </c>
    </row>
    <row r="1774" spans="8:10">
      <c r="H1774" t="e">
        <v>#N/A</v>
      </c>
      <c r="J1774" t="e">
        <v>#N/A</v>
      </c>
    </row>
    <row r="1775" spans="8:10">
      <c r="H1775" t="e">
        <v>#N/A</v>
      </c>
      <c r="J1775" t="e">
        <v>#N/A</v>
      </c>
    </row>
    <row r="1776" spans="8:10">
      <c r="H1776" t="e">
        <v>#N/A</v>
      </c>
      <c r="J1776" t="e">
        <v>#N/A</v>
      </c>
    </row>
    <row r="1777" spans="8:10">
      <c r="H1777" t="e">
        <v>#N/A</v>
      </c>
      <c r="J1777" t="e">
        <v>#N/A</v>
      </c>
    </row>
    <row r="1778" spans="8:10">
      <c r="H1778" t="e">
        <v>#N/A</v>
      </c>
      <c r="J1778" t="e">
        <v>#N/A</v>
      </c>
    </row>
    <row r="1779" spans="8:10">
      <c r="H1779" t="e">
        <v>#N/A</v>
      </c>
      <c r="J1779" t="e">
        <v>#N/A</v>
      </c>
    </row>
    <row r="1780" spans="8:10">
      <c r="H1780" t="e">
        <v>#N/A</v>
      </c>
      <c r="J1780" t="e">
        <v>#N/A</v>
      </c>
    </row>
    <row r="1781" spans="8:10">
      <c r="H1781" t="e">
        <v>#N/A</v>
      </c>
      <c r="J1781" t="e">
        <v>#N/A</v>
      </c>
    </row>
    <row r="1782" spans="8:10">
      <c r="H1782" t="e">
        <v>#N/A</v>
      </c>
      <c r="J1782" t="e">
        <v>#N/A</v>
      </c>
    </row>
    <row r="1783" spans="8:10">
      <c r="H1783" t="e">
        <v>#N/A</v>
      </c>
      <c r="J1783" t="e">
        <v>#N/A</v>
      </c>
    </row>
    <row r="1784" spans="8:10">
      <c r="H1784" t="e">
        <v>#N/A</v>
      </c>
      <c r="J1784" t="e">
        <v>#N/A</v>
      </c>
    </row>
    <row r="1785" spans="8:10">
      <c r="H1785" t="e">
        <v>#N/A</v>
      </c>
      <c r="J1785" t="e">
        <v>#N/A</v>
      </c>
    </row>
    <row r="1786" spans="8:10">
      <c r="H1786" t="e">
        <v>#N/A</v>
      </c>
      <c r="J1786" t="e">
        <v>#N/A</v>
      </c>
    </row>
    <row r="1787" spans="8:10">
      <c r="H1787" t="e">
        <v>#N/A</v>
      </c>
      <c r="J1787" t="e">
        <v>#N/A</v>
      </c>
    </row>
    <row r="1788" spans="8:10">
      <c r="H1788" t="e">
        <v>#N/A</v>
      </c>
      <c r="J1788" t="e">
        <v>#N/A</v>
      </c>
    </row>
    <row r="1789" spans="8:10">
      <c r="H1789" t="e">
        <v>#N/A</v>
      </c>
      <c r="J1789" t="e">
        <v>#N/A</v>
      </c>
    </row>
    <row r="1790" spans="8:10">
      <c r="H1790" t="e">
        <v>#N/A</v>
      </c>
      <c r="J1790" t="e">
        <v>#N/A</v>
      </c>
    </row>
    <row r="1791" spans="8:10">
      <c r="H1791" t="e">
        <v>#N/A</v>
      </c>
      <c r="J1791" t="e">
        <v>#N/A</v>
      </c>
    </row>
    <row r="1792" spans="8:10">
      <c r="H1792" t="e">
        <v>#N/A</v>
      </c>
      <c r="J1792" t="e">
        <v>#N/A</v>
      </c>
    </row>
    <row r="1793" spans="8:10">
      <c r="H1793" t="e">
        <v>#N/A</v>
      </c>
      <c r="J1793" t="e">
        <v>#N/A</v>
      </c>
    </row>
    <row r="1794" spans="8:10">
      <c r="H1794" t="e">
        <v>#N/A</v>
      </c>
      <c r="J1794" t="e">
        <v>#N/A</v>
      </c>
    </row>
    <row r="1795" spans="8:10">
      <c r="H1795" t="e">
        <v>#N/A</v>
      </c>
      <c r="J1795" t="e">
        <v>#N/A</v>
      </c>
    </row>
    <row r="1796" spans="8:10">
      <c r="H1796" t="e">
        <v>#N/A</v>
      </c>
      <c r="J1796" t="e">
        <v>#N/A</v>
      </c>
    </row>
    <row r="1797" spans="8:10">
      <c r="H1797" t="e">
        <v>#N/A</v>
      </c>
      <c r="J1797" t="e">
        <v>#N/A</v>
      </c>
    </row>
    <row r="1798" spans="8:10">
      <c r="H1798" t="e">
        <v>#N/A</v>
      </c>
      <c r="J1798" t="e">
        <v>#N/A</v>
      </c>
    </row>
    <row r="1799" spans="8:10">
      <c r="H1799" t="e">
        <v>#N/A</v>
      </c>
      <c r="J1799" t="e">
        <v>#N/A</v>
      </c>
    </row>
    <row r="1800" spans="8:10">
      <c r="H1800" t="e">
        <v>#N/A</v>
      </c>
      <c r="J1800" t="e">
        <v>#N/A</v>
      </c>
    </row>
    <row r="1801" spans="8:10">
      <c r="H1801" t="e">
        <v>#N/A</v>
      </c>
      <c r="J1801" t="e">
        <v>#N/A</v>
      </c>
    </row>
    <row r="1802" spans="8:10">
      <c r="H1802" t="e">
        <v>#N/A</v>
      </c>
      <c r="J1802" t="e">
        <v>#N/A</v>
      </c>
    </row>
    <row r="1803" spans="8:10">
      <c r="H1803" t="e">
        <v>#N/A</v>
      </c>
      <c r="J1803" t="e">
        <v>#N/A</v>
      </c>
    </row>
    <row r="1804" spans="8:10">
      <c r="H1804" t="e">
        <v>#N/A</v>
      </c>
      <c r="J1804" t="e">
        <v>#N/A</v>
      </c>
    </row>
    <row r="1805" spans="8:10">
      <c r="H1805" t="e">
        <v>#N/A</v>
      </c>
      <c r="J1805" t="e">
        <v>#N/A</v>
      </c>
    </row>
    <row r="1806" spans="8:10">
      <c r="H1806" t="e">
        <v>#N/A</v>
      </c>
      <c r="J1806" t="e">
        <v>#N/A</v>
      </c>
    </row>
    <row r="1807" spans="8:10">
      <c r="H1807" t="e">
        <v>#N/A</v>
      </c>
      <c r="J1807" t="e">
        <v>#N/A</v>
      </c>
    </row>
    <row r="1808" spans="8:10">
      <c r="H1808" t="e">
        <v>#N/A</v>
      </c>
      <c r="J1808" t="e">
        <v>#N/A</v>
      </c>
    </row>
    <row r="1809" spans="8:10">
      <c r="H1809" t="e">
        <v>#N/A</v>
      </c>
      <c r="J1809" t="e">
        <v>#N/A</v>
      </c>
    </row>
    <row r="1810" spans="8:10">
      <c r="H1810" t="e">
        <v>#N/A</v>
      </c>
      <c r="J1810" t="e">
        <v>#N/A</v>
      </c>
    </row>
    <row r="1811" spans="8:10">
      <c r="H1811" t="e">
        <v>#N/A</v>
      </c>
      <c r="J1811" t="e">
        <v>#N/A</v>
      </c>
    </row>
    <row r="1812" spans="8:10">
      <c r="H1812" t="e">
        <v>#N/A</v>
      </c>
      <c r="J1812" t="e">
        <v>#N/A</v>
      </c>
    </row>
    <row r="1813" spans="8:10">
      <c r="H1813" t="e">
        <v>#N/A</v>
      </c>
      <c r="J1813" t="e">
        <v>#N/A</v>
      </c>
    </row>
    <row r="1814" spans="8:10">
      <c r="H1814" t="e">
        <v>#N/A</v>
      </c>
      <c r="J1814" t="e">
        <v>#N/A</v>
      </c>
    </row>
    <row r="1815" spans="8:10">
      <c r="H1815" t="e">
        <v>#N/A</v>
      </c>
      <c r="J1815" t="e">
        <v>#N/A</v>
      </c>
    </row>
    <row r="1816" spans="8:10">
      <c r="H1816" t="e">
        <v>#N/A</v>
      </c>
      <c r="J1816" t="e">
        <v>#N/A</v>
      </c>
    </row>
    <row r="1817" spans="8:10">
      <c r="H1817" t="e">
        <v>#N/A</v>
      </c>
      <c r="J1817" t="e">
        <v>#N/A</v>
      </c>
    </row>
    <row r="1818" spans="8:10">
      <c r="H1818" t="e">
        <v>#N/A</v>
      </c>
      <c r="J1818" t="e">
        <v>#N/A</v>
      </c>
    </row>
    <row r="1819" spans="8:10">
      <c r="H1819" t="e">
        <v>#N/A</v>
      </c>
      <c r="J1819" t="e">
        <v>#N/A</v>
      </c>
    </row>
    <row r="1820" spans="8:10">
      <c r="H1820" t="e">
        <v>#N/A</v>
      </c>
      <c r="J1820" t="e">
        <v>#N/A</v>
      </c>
    </row>
    <row r="1821" spans="8:10">
      <c r="H1821" t="e">
        <v>#N/A</v>
      </c>
      <c r="J1821" t="e">
        <v>#N/A</v>
      </c>
    </row>
    <row r="1822" spans="8:10">
      <c r="H1822" t="e">
        <v>#N/A</v>
      </c>
      <c r="J1822" t="e">
        <v>#N/A</v>
      </c>
    </row>
    <row r="1823" spans="8:10">
      <c r="H1823" t="e">
        <v>#N/A</v>
      </c>
      <c r="J1823" t="e">
        <v>#N/A</v>
      </c>
    </row>
    <row r="1824" spans="8:10">
      <c r="H1824" t="e">
        <v>#N/A</v>
      </c>
      <c r="J1824" t="e">
        <v>#N/A</v>
      </c>
    </row>
    <row r="1825" spans="8:10">
      <c r="H1825" t="e">
        <v>#N/A</v>
      </c>
      <c r="J1825" t="e">
        <v>#N/A</v>
      </c>
    </row>
    <row r="1826" spans="8:10">
      <c r="H1826" t="e">
        <v>#N/A</v>
      </c>
      <c r="J1826" t="e">
        <v>#N/A</v>
      </c>
    </row>
    <row r="1827" spans="8:10">
      <c r="H1827" t="e">
        <v>#N/A</v>
      </c>
      <c r="J1827" t="e">
        <v>#N/A</v>
      </c>
    </row>
    <row r="1828" spans="8:10">
      <c r="H1828" t="e">
        <v>#N/A</v>
      </c>
      <c r="J1828" t="e">
        <v>#N/A</v>
      </c>
    </row>
    <row r="1829" spans="8:10">
      <c r="H1829" t="e">
        <v>#N/A</v>
      </c>
      <c r="J1829" t="e">
        <v>#N/A</v>
      </c>
    </row>
    <row r="1830" spans="8:10">
      <c r="H1830" t="e">
        <v>#N/A</v>
      </c>
      <c r="J1830" t="e">
        <v>#N/A</v>
      </c>
    </row>
    <row r="1831" spans="8:10">
      <c r="H1831" t="e">
        <v>#N/A</v>
      </c>
      <c r="J1831" t="e">
        <v>#N/A</v>
      </c>
    </row>
    <row r="1832" spans="8:10">
      <c r="H1832" t="e">
        <v>#N/A</v>
      </c>
      <c r="J1832" t="e">
        <v>#N/A</v>
      </c>
    </row>
    <row r="1833" spans="8:10">
      <c r="H1833" t="e">
        <v>#N/A</v>
      </c>
      <c r="J1833" t="e">
        <v>#N/A</v>
      </c>
    </row>
    <row r="1834" spans="8:10">
      <c r="H1834" t="e">
        <v>#N/A</v>
      </c>
      <c r="J1834" t="e">
        <v>#N/A</v>
      </c>
    </row>
    <row r="1835" spans="8:10">
      <c r="H1835" t="e">
        <v>#N/A</v>
      </c>
      <c r="J1835" t="e">
        <v>#N/A</v>
      </c>
    </row>
    <row r="1836" spans="8:10">
      <c r="H1836" t="e">
        <v>#N/A</v>
      </c>
      <c r="J1836" t="e">
        <v>#N/A</v>
      </c>
    </row>
    <row r="1837" spans="8:10">
      <c r="H1837" t="e">
        <v>#N/A</v>
      </c>
      <c r="J1837" t="e">
        <v>#N/A</v>
      </c>
    </row>
    <row r="1838" spans="8:10">
      <c r="H1838" t="e">
        <v>#N/A</v>
      </c>
      <c r="J1838" t="e">
        <v>#N/A</v>
      </c>
    </row>
    <row r="1839" spans="8:10">
      <c r="H1839" t="e">
        <v>#N/A</v>
      </c>
      <c r="J1839" t="e">
        <v>#N/A</v>
      </c>
    </row>
    <row r="1840" spans="8:10">
      <c r="H1840" t="e">
        <v>#N/A</v>
      </c>
      <c r="J1840" t="e">
        <v>#N/A</v>
      </c>
    </row>
    <row r="1841" spans="8:10">
      <c r="H1841" t="e">
        <v>#N/A</v>
      </c>
      <c r="J1841" t="e">
        <v>#N/A</v>
      </c>
    </row>
    <row r="1842" spans="8:10">
      <c r="H1842" t="e">
        <v>#N/A</v>
      </c>
      <c r="J1842" t="e">
        <v>#N/A</v>
      </c>
    </row>
    <row r="1843" spans="8:10">
      <c r="H1843" t="e">
        <v>#N/A</v>
      </c>
      <c r="J1843" t="e">
        <v>#N/A</v>
      </c>
    </row>
    <row r="1844" spans="8:10">
      <c r="H1844" t="e">
        <v>#N/A</v>
      </c>
      <c r="J1844" t="e">
        <v>#N/A</v>
      </c>
    </row>
    <row r="1845" spans="8:10">
      <c r="H1845" t="e">
        <v>#N/A</v>
      </c>
      <c r="J1845" t="e">
        <v>#N/A</v>
      </c>
    </row>
    <row r="1846" spans="8:10">
      <c r="H1846" t="e">
        <v>#N/A</v>
      </c>
      <c r="J1846" t="e">
        <v>#N/A</v>
      </c>
    </row>
    <row r="1847" spans="8:10">
      <c r="H1847" t="e">
        <v>#N/A</v>
      </c>
      <c r="J1847" t="e">
        <v>#N/A</v>
      </c>
    </row>
    <row r="1848" spans="8:10">
      <c r="H1848" t="e">
        <v>#N/A</v>
      </c>
      <c r="J1848" t="e">
        <v>#N/A</v>
      </c>
    </row>
    <row r="1849" spans="8:10">
      <c r="H1849" t="e">
        <v>#N/A</v>
      </c>
      <c r="J1849" t="e">
        <v>#N/A</v>
      </c>
    </row>
    <row r="1850" spans="8:10">
      <c r="H1850" t="e">
        <v>#N/A</v>
      </c>
      <c r="J1850" t="e">
        <v>#N/A</v>
      </c>
    </row>
    <row r="1851" spans="8:10">
      <c r="H1851" t="e">
        <v>#N/A</v>
      </c>
      <c r="J1851" t="e">
        <v>#N/A</v>
      </c>
    </row>
    <row r="1852" spans="8:10">
      <c r="H1852" t="e">
        <v>#N/A</v>
      </c>
      <c r="J1852" t="e">
        <v>#N/A</v>
      </c>
    </row>
    <row r="1853" spans="8:10">
      <c r="H1853" t="e">
        <v>#N/A</v>
      </c>
      <c r="J1853" t="e">
        <v>#N/A</v>
      </c>
    </row>
    <row r="1854" spans="8:10">
      <c r="H1854" t="e">
        <v>#N/A</v>
      </c>
      <c r="J1854" t="e">
        <v>#N/A</v>
      </c>
    </row>
    <row r="1855" spans="8:10">
      <c r="H1855" t="e">
        <v>#N/A</v>
      </c>
      <c r="J1855" t="e">
        <v>#N/A</v>
      </c>
    </row>
    <row r="1856" spans="8:10">
      <c r="H1856" t="e">
        <v>#N/A</v>
      </c>
      <c r="J1856" t="e">
        <v>#N/A</v>
      </c>
    </row>
    <row r="1857" spans="8:10">
      <c r="H1857" t="e">
        <v>#N/A</v>
      </c>
      <c r="J1857" t="e">
        <v>#N/A</v>
      </c>
    </row>
    <row r="1858" spans="8:10">
      <c r="H1858" t="e">
        <v>#N/A</v>
      </c>
      <c r="J1858" t="e">
        <v>#N/A</v>
      </c>
    </row>
    <row r="1859" spans="8:10">
      <c r="H1859" t="e">
        <v>#N/A</v>
      </c>
      <c r="J1859" t="e">
        <v>#N/A</v>
      </c>
    </row>
    <row r="1860" spans="8:10">
      <c r="H1860" t="e">
        <v>#N/A</v>
      </c>
      <c r="J1860" t="e">
        <v>#N/A</v>
      </c>
    </row>
    <row r="1861" spans="8:10">
      <c r="H1861" t="e">
        <v>#N/A</v>
      </c>
      <c r="J1861" t="e">
        <v>#N/A</v>
      </c>
    </row>
    <row r="1862" spans="8:10">
      <c r="H1862" t="e">
        <v>#N/A</v>
      </c>
      <c r="J1862" t="e">
        <v>#N/A</v>
      </c>
    </row>
    <row r="1863" spans="8:10">
      <c r="H1863" t="e">
        <v>#N/A</v>
      </c>
      <c r="J1863" t="e">
        <v>#N/A</v>
      </c>
    </row>
    <row r="1864" spans="8:10">
      <c r="H1864" t="e">
        <v>#N/A</v>
      </c>
      <c r="J1864" t="e">
        <v>#N/A</v>
      </c>
    </row>
    <row r="1865" spans="8:10">
      <c r="H1865" t="e">
        <v>#N/A</v>
      </c>
      <c r="J1865" t="e">
        <v>#N/A</v>
      </c>
    </row>
    <row r="1866" spans="8:10">
      <c r="H1866" t="e">
        <v>#N/A</v>
      </c>
      <c r="J1866" t="e">
        <v>#N/A</v>
      </c>
    </row>
    <row r="1867" spans="8:10">
      <c r="H1867" t="e">
        <v>#N/A</v>
      </c>
      <c r="J1867" t="e">
        <v>#N/A</v>
      </c>
    </row>
    <row r="1868" spans="8:10">
      <c r="H1868" t="e">
        <v>#N/A</v>
      </c>
      <c r="J1868" t="e">
        <v>#N/A</v>
      </c>
    </row>
    <row r="1869" spans="8:10">
      <c r="H1869" t="e">
        <v>#N/A</v>
      </c>
      <c r="J1869" t="e">
        <v>#N/A</v>
      </c>
    </row>
    <row r="1870" spans="8:10">
      <c r="H1870" t="e">
        <v>#N/A</v>
      </c>
      <c r="J1870" t="e">
        <v>#N/A</v>
      </c>
    </row>
    <row r="1871" spans="8:10">
      <c r="H1871" t="e">
        <v>#N/A</v>
      </c>
      <c r="J1871" t="e">
        <v>#N/A</v>
      </c>
    </row>
    <row r="1872" spans="8:10">
      <c r="H1872" t="e">
        <v>#N/A</v>
      </c>
      <c r="J1872" t="e">
        <v>#N/A</v>
      </c>
    </row>
    <row r="1873" spans="8:10">
      <c r="H1873" t="e">
        <v>#N/A</v>
      </c>
      <c r="J1873" t="e">
        <v>#N/A</v>
      </c>
    </row>
    <row r="1874" spans="8:10">
      <c r="H1874" t="e">
        <v>#N/A</v>
      </c>
      <c r="J1874" t="e">
        <v>#N/A</v>
      </c>
    </row>
    <row r="1875" spans="8:10">
      <c r="H1875" t="e">
        <v>#N/A</v>
      </c>
      <c r="J1875" t="e">
        <v>#N/A</v>
      </c>
    </row>
    <row r="1876" spans="8:10">
      <c r="H1876" t="e">
        <v>#N/A</v>
      </c>
      <c r="J1876" t="e">
        <v>#N/A</v>
      </c>
    </row>
    <row r="1877" spans="8:10">
      <c r="H1877" t="e">
        <v>#N/A</v>
      </c>
      <c r="J1877" t="e">
        <v>#N/A</v>
      </c>
    </row>
    <row r="1878" spans="8:10">
      <c r="H1878" t="e">
        <v>#N/A</v>
      </c>
      <c r="J1878" t="e">
        <v>#N/A</v>
      </c>
    </row>
    <row r="1879" spans="8:10">
      <c r="H1879" t="e">
        <v>#N/A</v>
      </c>
      <c r="J1879" t="e">
        <v>#N/A</v>
      </c>
    </row>
    <row r="1880" spans="8:10">
      <c r="H1880" t="e">
        <v>#N/A</v>
      </c>
      <c r="J1880" t="e">
        <v>#N/A</v>
      </c>
    </row>
    <row r="1881" spans="8:10">
      <c r="H1881" t="e">
        <v>#N/A</v>
      </c>
      <c r="J1881" t="e">
        <v>#N/A</v>
      </c>
    </row>
    <row r="1882" spans="8:10">
      <c r="H1882" t="e">
        <v>#N/A</v>
      </c>
      <c r="J1882" t="e">
        <v>#N/A</v>
      </c>
    </row>
    <row r="1883" spans="8:10">
      <c r="H1883" t="e">
        <v>#N/A</v>
      </c>
      <c r="J1883" t="e">
        <v>#N/A</v>
      </c>
    </row>
    <row r="1884" spans="8:10">
      <c r="H1884" t="e">
        <v>#N/A</v>
      </c>
      <c r="J1884" t="e">
        <v>#N/A</v>
      </c>
    </row>
    <row r="1885" spans="8:10">
      <c r="H1885" t="e">
        <v>#N/A</v>
      </c>
      <c r="J1885" t="e">
        <v>#N/A</v>
      </c>
    </row>
    <row r="1886" spans="8:10">
      <c r="H1886" t="e">
        <v>#N/A</v>
      </c>
      <c r="J1886" t="e">
        <v>#N/A</v>
      </c>
    </row>
    <row r="1887" spans="8:10">
      <c r="H1887" t="e">
        <v>#N/A</v>
      </c>
      <c r="J1887" t="e">
        <v>#N/A</v>
      </c>
    </row>
    <row r="1888" spans="8:10">
      <c r="H1888" t="e">
        <v>#N/A</v>
      </c>
      <c r="J1888" t="e">
        <v>#N/A</v>
      </c>
    </row>
    <row r="1889" spans="8:10">
      <c r="H1889" t="e">
        <v>#N/A</v>
      </c>
      <c r="J1889" t="e">
        <v>#N/A</v>
      </c>
    </row>
    <row r="1890" spans="8:10">
      <c r="H1890" t="e">
        <v>#N/A</v>
      </c>
      <c r="J1890" t="e">
        <v>#N/A</v>
      </c>
    </row>
    <row r="1891" spans="8:10">
      <c r="H1891" t="e">
        <v>#N/A</v>
      </c>
      <c r="J1891" t="e">
        <v>#N/A</v>
      </c>
    </row>
    <row r="1892" spans="8:10">
      <c r="H1892" t="e">
        <v>#N/A</v>
      </c>
      <c r="J1892" t="e">
        <v>#N/A</v>
      </c>
    </row>
    <row r="1893" spans="8:10">
      <c r="H1893" t="e">
        <v>#N/A</v>
      </c>
      <c r="J1893" t="e">
        <v>#N/A</v>
      </c>
    </row>
    <row r="1894" spans="8:10">
      <c r="H1894" t="e">
        <v>#N/A</v>
      </c>
      <c r="J1894" t="e">
        <v>#N/A</v>
      </c>
    </row>
    <row r="1895" spans="8:10">
      <c r="H1895" t="e">
        <v>#N/A</v>
      </c>
      <c r="J1895" t="e">
        <v>#N/A</v>
      </c>
    </row>
    <row r="1896" spans="8:10">
      <c r="H1896" t="e">
        <v>#N/A</v>
      </c>
      <c r="J1896" t="e">
        <v>#N/A</v>
      </c>
    </row>
    <row r="1897" spans="8:10">
      <c r="H1897" t="e">
        <v>#N/A</v>
      </c>
      <c r="J1897" t="e">
        <v>#N/A</v>
      </c>
    </row>
    <row r="1898" spans="8:10">
      <c r="H1898" t="e">
        <v>#N/A</v>
      </c>
      <c r="J1898" t="e">
        <v>#N/A</v>
      </c>
    </row>
    <row r="1899" spans="8:10">
      <c r="H1899" t="e">
        <v>#N/A</v>
      </c>
      <c r="J1899" t="e">
        <v>#N/A</v>
      </c>
    </row>
    <row r="1900" spans="8:10">
      <c r="H1900" t="e">
        <v>#N/A</v>
      </c>
      <c r="J1900" t="e">
        <v>#N/A</v>
      </c>
    </row>
    <row r="1901" spans="8:10">
      <c r="H1901" t="e">
        <v>#N/A</v>
      </c>
      <c r="J1901" t="e">
        <v>#N/A</v>
      </c>
    </row>
    <row r="1902" spans="8:10">
      <c r="H1902" t="e">
        <v>#N/A</v>
      </c>
      <c r="J1902" t="e">
        <v>#N/A</v>
      </c>
    </row>
    <row r="1903" spans="8:10">
      <c r="H1903" t="e">
        <v>#N/A</v>
      </c>
      <c r="J1903" t="e">
        <v>#N/A</v>
      </c>
    </row>
    <row r="1904" spans="8:10">
      <c r="H1904" t="e">
        <v>#N/A</v>
      </c>
      <c r="J1904" t="e">
        <v>#N/A</v>
      </c>
    </row>
    <row r="1905" spans="8:10">
      <c r="H1905" t="e">
        <v>#N/A</v>
      </c>
      <c r="J1905" t="e">
        <v>#N/A</v>
      </c>
    </row>
    <row r="1906" spans="8:10">
      <c r="H1906" t="e">
        <v>#N/A</v>
      </c>
      <c r="J1906" t="e">
        <v>#N/A</v>
      </c>
    </row>
    <row r="1907" spans="8:10">
      <c r="H1907" t="e">
        <v>#N/A</v>
      </c>
      <c r="J1907" t="e">
        <v>#N/A</v>
      </c>
    </row>
    <row r="1908" spans="8:10">
      <c r="H1908" t="e">
        <v>#N/A</v>
      </c>
      <c r="J1908" t="e">
        <v>#N/A</v>
      </c>
    </row>
    <row r="1909" spans="8:10">
      <c r="H1909" t="e">
        <v>#N/A</v>
      </c>
      <c r="J1909" t="e">
        <v>#N/A</v>
      </c>
    </row>
    <row r="1910" spans="8:10">
      <c r="H1910" t="e">
        <v>#N/A</v>
      </c>
      <c r="J1910" t="e">
        <v>#N/A</v>
      </c>
    </row>
    <row r="1911" spans="8:10">
      <c r="H1911" t="e">
        <v>#N/A</v>
      </c>
      <c r="J1911" t="e">
        <v>#N/A</v>
      </c>
    </row>
    <row r="1912" spans="8:10">
      <c r="H1912" t="e">
        <v>#N/A</v>
      </c>
      <c r="J1912" t="e">
        <v>#N/A</v>
      </c>
    </row>
    <row r="1913" spans="8:10">
      <c r="H1913" t="e">
        <v>#N/A</v>
      </c>
      <c r="J1913" t="e">
        <v>#N/A</v>
      </c>
    </row>
    <row r="1914" spans="8:10">
      <c r="H1914" t="e">
        <v>#N/A</v>
      </c>
      <c r="J1914" t="e">
        <v>#N/A</v>
      </c>
    </row>
    <row r="1915" spans="8:10">
      <c r="H1915" t="e">
        <v>#N/A</v>
      </c>
      <c r="J1915" t="e">
        <v>#N/A</v>
      </c>
    </row>
    <row r="1916" spans="8:10">
      <c r="H1916" t="e">
        <v>#N/A</v>
      </c>
      <c r="J1916" t="e">
        <v>#N/A</v>
      </c>
    </row>
    <row r="1917" spans="8:10">
      <c r="H1917" t="e">
        <v>#N/A</v>
      </c>
      <c r="J1917" t="e">
        <v>#N/A</v>
      </c>
    </row>
    <row r="1918" spans="8:10">
      <c r="H1918" t="e">
        <v>#N/A</v>
      </c>
      <c r="J1918" t="e">
        <v>#N/A</v>
      </c>
    </row>
    <row r="1919" spans="8:10">
      <c r="H1919" t="e">
        <v>#N/A</v>
      </c>
      <c r="J1919" t="e">
        <v>#N/A</v>
      </c>
    </row>
    <row r="1920" spans="8:10">
      <c r="H1920" t="e">
        <v>#N/A</v>
      </c>
      <c r="J1920" t="e">
        <v>#N/A</v>
      </c>
    </row>
    <row r="1921" spans="8:10">
      <c r="H1921" t="e">
        <v>#N/A</v>
      </c>
      <c r="J1921" t="e">
        <v>#N/A</v>
      </c>
    </row>
    <row r="1922" spans="8:10">
      <c r="H1922" t="e">
        <v>#N/A</v>
      </c>
      <c r="J1922" t="e">
        <v>#N/A</v>
      </c>
    </row>
    <row r="1923" spans="8:10">
      <c r="H1923" t="e">
        <v>#N/A</v>
      </c>
      <c r="J1923" t="e">
        <v>#N/A</v>
      </c>
    </row>
    <row r="1924" spans="8:10">
      <c r="H1924" t="e">
        <v>#N/A</v>
      </c>
      <c r="J1924" t="e">
        <v>#N/A</v>
      </c>
    </row>
    <row r="1925" spans="8:10">
      <c r="H1925" t="e">
        <v>#N/A</v>
      </c>
      <c r="J1925" t="e">
        <v>#N/A</v>
      </c>
    </row>
    <row r="1926" spans="8:10">
      <c r="H1926" t="e">
        <v>#N/A</v>
      </c>
      <c r="J1926" t="e">
        <v>#N/A</v>
      </c>
    </row>
    <row r="1927" spans="8:10">
      <c r="H1927" t="e">
        <v>#N/A</v>
      </c>
      <c r="J1927" t="e">
        <v>#N/A</v>
      </c>
    </row>
    <row r="1928" spans="8:10">
      <c r="H1928" t="e">
        <v>#N/A</v>
      </c>
      <c r="J1928" t="e">
        <v>#N/A</v>
      </c>
    </row>
    <row r="1929" spans="8:10">
      <c r="H1929" t="e">
        <v>#N/A</v>
      </c>
      <c r="J1929" t="e">
        <v>#N/A</v>
      </c>
    </row>
    <row r="1930" spans="8:10">
      <c r="H1930" t="e">
        <v>#N/A</v>
      </c>
      <c r="J1930" t="e">
        <v>#N/A</v>
      </c>
    </row>
    <row r="1931" spans="8:10">
      <c r="H1931" t="e">
        <v>#N/A</v>
      </c>
      <c r="J1931" t="e">
        <v>#N/A</v>
      </c>
    </row>
    <row r="1932" spans="8:10">
      <c r="H1932" t="e">
        <v>#N/A</v>
      </c>
      <c r="J1932" t="e">
        <v>#N/A</v>
      </c>
    </row>
    <row r="1933" spans="8:10">
      <c r="H1933" t="e">
        <v>#N/A</v>
      </c>
      <c r="J1933" t="e">
        <v>#N/A</v>
      </c>
    </row>
    <row r="1934" spans="8:10">
      <c r="H1934" t="e">
        <v>#N/A</v>
      </c>
      <c r="J1934" t="e">
        <v>#N/A</v>
      </c>
    </row>
    <row r="1935" spans="8:10">
      <c r="H1935" t="e">
        <v>#N/A</v>
      </c>
      <c r="J1935" t="e">
        <v>#N/A</v>
      </c>
    </row>
    <row r="1936" spans="8:10">
      <c r="H1936" t="e">
        <v>#N/A</v>
      </c>
      <c r="J1936" t="e">
        <v>#N/A</v>
      </c>
    </row>
    <row r="1937" spans="8:10">
      <c r="H1937" t="e">
        <v>#N/A</v>
      </c>
      <c r="J1937" t="e">
        <v>#N/A</v>
      </c>
    </row>
    <row r="1938" spans="8:10">
      <c r="H1938" t="e">
        <v>#N/A</v>
      </c>
      <c r="J1938" t="e">
        <v>#N/A</v>
      </c>
    </row>
    <row r="1939" spans="8:10">
      <c r="H1939" t="e">
        <v>#N/A</v>
      </c>
      <c r="J1939" t="e">
        <v>#N/A</v>
      </c>
    </row>
    <row r="1940" spans="8:10">
      <c r="H1940" t="e">
        <v>#N/A</v>
      </c>
      <c r="J1940" t="e">
        <v>#N/A</v>
      </c>
    </row>
    <row r="1941" spans="8:10">
      <c r="H1941" t="e">
        <v>#N/A</v>
      </c>
      <c r="J1941" t="e">
        <v>#N/A</v>
      </c>
    </row>
    <row r="1942" spans="8:10">
      <c r="H1942" t="e">
        <v>#N/A</v>
      </c>
      <c r="J1942" t="e">
        <v>#N/A</v>
      </c>
    </row>
    <row r="1943" spans="8:10">
      <c r="H1943" t="e">
        <v>#N/A</v>
      </c>
      <c r="J1943" t="e">
        <v>#N/A</v>
      </c>
    </row>
    <row r="1944" spans="8:10">
      <c r="H1944" t="e">
        <v>#N/A</v>
      </c>
      <c r="J1944" t="e">
        <v>#N/A</v>
      </c>
    </row>
    <row r="1945" spans="8:10">
      <c r="H1945" t="e">
        <v>#N/A</v>
      </c>
      <c r="J1945" t="e">
        <v>#N/A</v>
      </c>
    </row>
    <row r="1946" spans="8:10">
      <c r="H1946" t="e">
        <v>#N/A</v>
      </c>
      <c r="J1946" t="e">
        <v>#N/A</v>
      </c>
    </row>
    <row r="1947" spans="8:10">
      <c r="H1947" t="e">
        <v>#N/A</v>
      </c>
      <c r="J1947" t="e">
        <v>#N/A</v>
      </c>
    </row>
    <row r="1948" spans="8:10">
      <c r="H1948" t="e">
        <v>#N/A</v>
      </c>
      <c r="J1948" t="e">
        <v>#N/A</v>
      </c>
    </row>
    <row r="1949" spans="8:10">
      <c r="H1949" t="e">
        <v>#N/A</v>
      </c>
      <c r="J1949" t="e">
        <v>#N/A</v>
      </c>
    </row>
    <row r="1950" spans="8:10">
      <c r="H1950" t="e">
        <v>#N/A</v>
      </c>
      <c r="J1950" t="e">
        <v>#N/A</v>
      </c>
    </row>
    <row r="1951" spans="8:10">
      <c r="H1951" t="e">
        <v>#N/A</v>
      </c>
      <c r="J1951" t="e">
        <v>#N/A</v>
      </c>
    </row>
    <row r="1952" spans="8:10">
      <c r="H1952" t="e">
        <v>#N/A</v>
      </c>
      <c r="J1952" t="e">
        <v>#N/A</v>
      </c>
    </row>
    <row r="1953" spans="8:10">
      <c r="H1953" t="e">
        <v>#N/A</v>
      </c>
      <c r="J1953" t="e">
        <v>#N/A</v>
      </c>
    </row>
    <row r="1954" spans="8:10">
      <c r="H1954" t="e">
        <v>#N/A</v>
      </c>
      <c r="J1954" t="e">
        <v>#N/A</v>
      </c>
    </row>
    <row r="1955" spans="8:10">
      <c r="H1955" t="e">
        <v>#N/A</v>
      </c>
      <c r="J1955" t="e">
        <v>#N/A</v>
      </c>
    </row>
    <row r="1956" spans="8:10">
      <c r="H1956" t="e">
        <v>#N/A</v>
      </c>
      <c r="J1956" t="e">
        <v>#N/A</v>
      </c>
    </row>
    <row r="1957" spans="8:10">
      <c r="H1957" t="e">
        <v>#N/A</v>
      </c>
      <c r="J1957" t="e">
        <v>#N/A</v>
      </c>
    </row>
    <row r="1958" spans="8:10">
      <c r="H1958" t="e">
        <v>#N/A</v>
      </c>
      <c r="J1958" t="e">
        <v>#N/A</v>
      </c>
    </row>
    <row r="1959" spans="8:10">
      <c r="H1959" t="e">
        <v>#N/A</v>
      </c>
      <c r="J1959" t="e">
        <v>#N/A</v>
      </c>
    </row>
    <row r="1960" spans="8:10">
      <c r="H1960" t="e">
        <v>#N/A</v>
      </c>
      <c r="J1960" t="e">
        <v>#N/A</v>
      </c>
    </row>
    <row r="1961" spans="8:10">
      <c r="H1961" t="e">
        <v>#N/A</v>
      </c>
      <c r="J1961" t="e">
        <v>#N/A</v>
      </c>
    </row>
    <row r="1962" spans="8:10">
      <c r="H1962" t="e">
        <v>#N/A</v>
      </c>
      <c r="J1962" t="e">
        <v>#N/A</v>
      </c>
    </row>
    <row r="1963" spans="8:10">
      <c r="H1963" t="e">
        <v>#N/A</v>
      </c>
      <c r="J1963" t="e">
        <v>#N/A</v>
      </c>
    </row>
    <row r="1964" spans="8:10">
      <c r="H1964" t="e">
        <v>#N/A</v>
      </c>
      <c r="J1964" t="e">
        <v>#N/A</v>
      </c>
    </row>
    <row r="1965" spans="8:10">
      <c r="H1965" t="e">
        <v>#N/A</v>
      </c>
      <c r="J1965" t="e">
        <v>#N/A</v>
      </c>
    </row>
    <row r="1966" spans="8:10">
      <c r="H1966" t="e">
        <v>#N/A</v>
      </c>
      <c r="J1966" t="e">
        <v>#N/A</v>
      </c>
    </row>
    <row r="1967" spans="8:10">
      <c r="H1967" t="e">
        <v>#N/A</v>
      </c>
      <c r="J1967" t="e">
        <v>#N/A</v>
      </c>
    </row>
    <row r="1968" spans="8:10">
      <c r="H1968" t="e">
        <v>#N/A</v>
      </c>
      <c r="J1968" t="e">
        <v>#N/A</v>
      </c>
    </row>
    <row r="1969" spans="8:10">
      <c r="H1969" t="e">
        <v>#N/A</v>
      </c>
      <c r="J1969" t="e">
        <v>#N/A</v>
      </c>
    </row>
    <row r="1970" spans="8:10">
      <c r="H1970" t="e">
        <v>#N/A</v>
      </c>
      <c r="J1970" t="e">
        <v>#N/A</v>
      </c>
    </row>
    <row r="1971" spans="8:10">
      <c r="H1971" t="e">
        <v>#N/A</v>
      </c>
      <c r="J1971" t="e">
        <v>#N/A</v>
      </c>
    </row>
    <row r="1972" spans="8:10">
      <c r="H1972" t="e">
        <v>#N/A</v>
      </c>
      <c r="J1972" t="e">
        <v>#N/A</v>
      </c>
    </row>
    <row r="1973" spans="8:10">
      <c r="H1973" t="e">
        <v>#N/A</v>
      </c>
      <c r="J1973" t="e">
        <v>#N/A</v>
      </c>
    </row>
    <row r="1974" spans="8:10">
      <c r="H1974" t="e">
        <v>#N/A</v>
      </c>
      <c r="J1974" t="e">
        <v>#N/A</v>
      </c>
    </row>
    <row r="1975" spans="8:10">
      <c r="H1975" t="e">
        <v>#N/A</v>
      </c>
      <c r="J1975" t="e">
        <v>#N/A</v>
      </c>
    </row>
    <row r="1976" spans="8:10">
      <c r="H1976" t="e">
        <v>#N/A</v>
      </c>
      <c r="J1976" t="e">
        <v>#N/A</v>
      </c>
    </row>
    <row r="1977" spans="8:10">
      <c r="H1977" t="e">
        <v>#N/A</v>
      </c>
      <c r="J1977" t="e">
        <v>#N/A</v>
      </c>
    </row>
    <row r="1978" spans="8:10">
      <c r="H1978" t="e">
        <v>#N/A</v>
      </c>
      <c r="J1978" t="e">
        <v>#N/A</v>
      </c>
    </row>
    <row r="1979" spans="8:10">
      <c r="H1979" t="e">
        <v>#N/A</v>
      </c>
      <c r="J1979" t="e">
        <v>#N/A</v>
      </c>
    </row>
    <row r="1980" spans="8:10">
      <c r="H1980" t="e">
        <v>#N/A</v>
      </c>
      <c r="J1980" t="e">
        <v>#N/A</v>
      </c>
    </row>
    <row r="1981" spans="8:10">
      <c r="H1981" t="e">
        <v>#N/A</v>
      </c>
      <c r="J1981" t="e">
        <v>#N/A</v>
      </c>
    </row>
    <row r="1982" spans="8:10">
      <c r="H1982" t="e">
        <v>#N/A</v>
      </c>
      <c r="J1982" t="e">
        <v>#N/A</v>
      </c>
    </row>
    <row r="1983" spans="8:10">
      <c r="H1983" t="e">
        <v>#N/A</v>
      </c>
      <c r="J1983" t="e">
        <v>#N/A</v>
      </c>
    </row>
    <row r="1984" spans="8:10">
      <c r="H1984" t="e">
        <v>#N/A</v>
      </c>
      <c r="J1984" t="e">
        <v>#N/A</v>
      </c>
    </row>
    <row r="1985" spans="8:10">
      <c r="H1985" t="e">
        <v>#N/A</v>
      </c>
      <c r="J1985" t="e">
        <v>#N/A</v>
      </c>
    </row>
    <row r="1986" spans="8:10">
      <c r="H1986" t="e">
        <v>#N/A</v>
      </c>
      <c r="J1986" t="e">
        <v>#N/A</v>
      </c>
    </row>
    <row r="1987" spans="8:10">
      <c r="H1987" t="e">
        <v>#N/A</v>
      </c>
      <c r="J1987" t="e">
        <v>#N/A</v>
      </c>
    </row>
    <row r="1988" spans="8:10">
      <c r="H1988" t="e">
        <v>#N/A</v>
      </c>
      <c r="J1988" t="e">
        <v>#N/A</v>
      </c>
    </row>
    <row r="1989" spans="8:10">
      <c r="H1989" t="e">
        <v>#N/A</v>
      </c>
      <c r="J1989" t="e">
        <v>#N/A</v>
      </c>
    </row>
    <row r="1990" spans="8:10">
      <c r="H1990" t="e">
        <v>#N/A</v>
      </c>
      <c r="J1990" t="e">
        <v>#N/A</v>
      </c>
    </row>
    <row r="1991" spans="8:10">
      <c r="H1991" t="e">
        <v>#N/A</v>
      </c>
      <c r="J1991" t="e">
        <v>#N/A</v>
      </c>
    </row>
    <row r="1992" spans="8:10">
      <c r="H1992" t="e">
        <v>#N/A</v>
      </c>
      <c r="J1992" t="e">
        <v>#N/A</v>
      </c>
    </row>
    <row r="1993" spans="8:10">
      <c r="H1993" t="e">
        <v>#N/A</v>
      </c>
      <c r="J1993" t="e">
        <v>#N/A</v>
      </c>
    </row>
    <row r="1994" spans="8:10">
      <c r="H1994" t="e">
        <v>#N/A</v>
      </c>
      <c r="J1994" t="e">
        <v>#N/A</v>
      </c>
    </row>
    <row r="1995" spans="8:10">
      <c r="H1995" t="e">
        <v>#N/A</v>
      </c>
      <c r="J1995" t="e">
        <v>#N/A</v>
      </c>
    </row>
    <row r="1996" spans="8:10">
      <c r="H1996" t="e">
        <v>#N/A</v>
      </c>
      <c r="J1996" t="e">
        <v>#N/A</v>
      </c>
    </row>
    <row r="1997" spans="8:10">
      <c r="H1997" t="e">
        <v>#N/A</v>
      </c>
      <c r="J1997" t="e">
        <v>#N/A</v>
      </c>
    </row>
    <row r="1998" spans="8:10">
      <c r="H1998" t="e">
        <v>#N/A</v>
      </c>
      <c r="J1998" t="e">
        <v>#N/A</v>
      </c>
    </row>
    <row r="1999" spans="8:10">
      <c r="H1999" t="e">
        <v>#N/A</v>
      </c>
      <c r="J1999" t="e">
        <v>#N/A</v>
      </c>
    </row>
    <row r="2000" spans="8:10">
      <c r="H2000" t="e">
        <v>#N/A</v>
      </c>
      <c r="J2000" t="e">
        <v>#N/A</v>
      </c>
    </row>
    <row r="2001" spans="8:10">
      <c r="H2001" t="e">
        <v>#N/A</v>
      </c>
      <c r="J2001" t="e">
        <v>#N/A</v>
      </c>
    </row>
    <row r="2002" spans="8:10">
      <c r="H2002" t="e">
        <v>#N/A</v>
      </c>
      <c r="J2002" t="e">
        <v>#N/A</v>
      </c>
    </row>
    <row r="2003" spans="8:10">
      <c r="H2003" t="e">
        <v>#N/A</v>
      </c>
      <c r="J2003" t="e">
        <v>#N/A</v>
      </c>
    </row>
    <row r="2004" spans="8:10">
      <c r="H2004" t="e">
        <v>#N/A</v>
      </c>
      <c r="J2004" t="e">
        <v>#N/A</v>
      </c>
    </row>
    <row r="2005" spans="8:10">
      <c r="H2005" t="e">
        <v>#N/A</v>
      </c>
      <c r="J2005" t="e">
        <v>#N/A</v>
      </c>
    </row>
    <row r="2006" spans="8:10">
      <c r="H2006" t="e">
        <v>#N/A</v>
      </c>
      <c r="J2006" t="e">
        <v>#N/A</v>
      </c>
    </row>
    <row r="2007" spans="8:10">
      <c r="H2007" t="e">
        <v>#N/A</v>
      </c>
      <c r="J2007" t="e">
        <v>#N/A</v>
      </c>
    </row>
    <row r="2008" spans="8:10">
      <c r="H2008" t="e">
        <v>#N/A</v>
      </c>
      <c r="J2008" t="e">
        <v>#N/A</v>
      </c>
    </row>
    <row r="2009" spans="8:10">
      <c r="H2009" t="e">
        <v>#N/A</v>
      </c>
      <c r="J2009" t="e">
        <v>#N/A</v>
      </c>
    </row>
    <row r="2010" spans="8:10">
      <c r="H2010" t="e">
        <v>#N/A</v>
      </c>
      <c r="J2010" t="e">
        <v>#N/A</v>
      </c>
    </row>
    <row r="2011" spans="8:10">
      <c r="H2011" t="e">
        <v>#N/A</v>
      </c>
      <c r="J2011" t="e">
        <v>#N/A</v>
      </c>
    </row>
    <row r="2012" spans="8:10">
      <c r="H2012" t="e">
        <v>#N/A</v>
      </c>
      <c r="J2012" t="e">
        <v>#N/A</v>
      </c>
    </row>
    <row r="2013" spans="8:10">
      <c r="H2013" t="e">
        <v>#N/A</v>
      </c>
      <c r="J2013" t="e">
        <v>#N/A</v>
      </c>
    </row>
    <row r="2014" spans="8:10">
      <c r="H2014" t="e">
        <v>#N/A</v>
      </c>
      <c r="J2014" t="e">
        <v>#N/A</v>
      </c>
    </row>
    <row r="2015" spans="8:10">
      <c r="H2015" t="e">
        <v>#N/A</v>
      </c>
      <c r="J2015" t="e">
        <v>#N/A</v>
      </c>
    </row>
    <row r="2016" spans="8:10">
      <c r="H2016" t="e">
        <v>#N/A</v>
      </c>
      <c r="J2016" t="e">
        <v>#N/A</v>
      </c>
    </row>
    <row r="2017" spans="8:10">
      <c r="H2017" t="e">
        <v>#N/A</v>
      </c>
      <c r="J2017" t="e">
        <v>#N/A</v>
      </c>
    </row>
    <row r="2018" spans="8:10">
      <c r="H2018" t="e">
        <v>#N/A</v>
      </c>
      <c r="J2018" t="e">
        <v>#N/A</v>
      </c>
    </row>
    <row r="2019" spans="8:10">
      <c r="H2019" t="e">
        <v>#N/A</v>
      </c>
      <c r="J2019" t="e">
        <v>#N/A</v>
      </c>
    </row>
    <row r="2020" spans="8:10">
      <c r="H2020" t="e">
        <v>#N/A</v>
      </c>
      <c r="J2020" t="e">
        <v>#N/A</v>
      </c>
    </row>
    <row r="2021" spans="8:10">
      <c r="H2021" t="e">
        <v>#N/A</v>
      </c>
      <c r="J2021" t="e">
        <v>#N/A</v>
      </c>
    </row>
    <row r="2022" spans="8:10">
      <c r="H2022" t="e">
        <v>#N/A</v>
      </c>
      <c r="J2022" t="e">
        <v>#N/A</v>
      </c>
    </row>
    <row r="2023" spans="8:10">
      <c r="H2023" t="e">
        <v>#N/A</v>
      </c>
      <c r="J2023" t="e">
        <v>#N/A</v>
      </c>
    </row>
    <row r="2024" spans="8:10">
      <c r="H2024" t="e">
        <v>#N/A</v>
      </c>
      <c r="J2024" t="e">
        <v>#N/A</v>
      </c>
    </row>
    <row r="2025" spans="8:10">
      <c r="H2025" t="e">
        <v>#N/A</v>
      </c>
      <c r="J2025" t="e">
        <v>#N/A</v>
      </c>
    </row>
    <row r="2026" spans="8:10">
      <c r="H2026" t="e">
        <v>#N/A</v>
      </c>
      <c r="J2026" t="e">
        <v>#N/A</v>
      </c>
    </row>
    <row r="2027" spans="8:10">
      <c r="H2027" t="e">
        <v>#N/A</v>
      </c>
      <c r="J2027" t="e">
        <v>#N/A</v>
      </c>
    </row>
    <row r="2028" spans="8:10">
      <c r="H2028" t="e">
        <v>#N/A</v>
      </c>
      <c r="J2028" t="e">
        <v>#N/A</v>
      </c>
    </row>
    <row r="2029" spans="8:10">
      <c r="H2029" t="e">
        <v>#N/A</v>
      </c>
      <c r="J2029" t="e">
        <v>#N/A</v>
      </c>
    </row>
    <row r="2030" spans="8:10">
      <c r="H2030" t="e">
        <v>#N/A</v>
      </c>
      <c r="J2030" t="e">
        <v>#N/A</v>
      </c>
    </row>
    <row r="2031" spans="8:10">
      <c r="H2031" t="e">
        <v>#N/A</v>
      </c>
      <c r="J2031" t="e">
        <v>#N/A</v>
      </c>
    </row>
    <row r="2032" spans="8:10">
      <c r="H2032" t="e">
        <v>#N/A</v>
      </c>
      <c r="J2032" t="e">
        <v>#N/A</v>
      </c>
    </row>
    <row r="2033" spans="8:10">
      <c r="H2033" t="e">
        <v>#N/A</v>
      </c>
      <c r="J2033" t="e">
        <v>#N/A</v>
      </c>
    </row>
    <row r="2034" spans="8:10">
      <c r="H2034" t="e">
        <v>#N/A</v>
      </c>
      <c r="J2034" t="e">
        <v>#N/A</v>
      </c>
    </row>
    <row r="2035" spans="8:10">
      <c r="H2035" t="e">
        <v>#N/A</v>
      </c>
      <c r="J2035" t="e">
        <v>#N/A</v>
      </c>
    </row>
    <row r="2036" spans="8:10">
      <c r="H2036" t="e">
        <v>#N/A</v>
      </c>
      <c r="J2036" t="e">
        <v>#N/A</v>
      </c>
    </row>
    <row r="2037" spans="8:10">
      <c r="H2037" t="e">
        <v>#N/A</v>
      </c>
      <c r="J2037" t="e">
        <v>#N/A</v>
      </c>
    </row>
    <row r="2038" spans="8:10">
      <c r="H2038" t="e">
        <v>#N/A</v>
      </c>
      <c r="J2038" t="e">
        <v>#N/A</v>
      </c>
    </row>
    <row r="2039" spans="8:10">
      <c r="H2039" t="e">
        <v>#N/A</v>
      </c>
      <c r="J2039" t="e">
        <v>#N/A</v>
      </c>
    </row>
    <row r="2040" spans="8:10">
      <c r="H2040" t="e">
        <v>#N/A</v>
      </c>
      <c r="J2040" t="e">
        <v>#N/A</v>
      </c>
    </row>
    <row r="2041" spans="8:10">
      <c r="H2041" t="e">
        <v>#N/A</v>
      </c>
      <c r="J2041" t="e">
        <v>#N/A</v>
      </c>
    </row>
    <row r="2042" spans="8:10">
      <c r="H2042" t="e">
        <v>#N/A</v>
      </c>
      <c r="J2042" t="e">
        <v>#N/A</v>
      </c>
    </row>
    <row r="2043" spans="8:10">
      <c r="H2043" t="e">
        <v>#N/A</v>
      </c>
      <c r="J2043" t="e">
        <v>#N/A</v>
      </c>
    </row>
    <row r="2044" spans="8:10">
      <c r="H2044" t="e">
        <v>#N/A</v>
      </c>
      <c r="J2044" t="e">
        <v>#N/A</v>
      </c>
    </row>
    <row r="2045" spans="8:10">
      <c r="H2045" t="e">
        <v>#N/A</v>
      </c>
      <c r="J2045" t="e">
        <v>#N/A</v>
      </c>
    </row>
    <row r="2046" spans="8:10">
      <c r="H2046" t="e">
        <v>#N/A</v>
      </c>
      <c r="J2046" t="e">
        <v>#N/A</v>
      </c>
    </row>
    <row r="2047" spans="8:10">
      <c r="H2047" t="e">
        <v>#N/A</v>
      </c>
      <c r="J2047" t="e">
        <v>#N/A</v>
      </c>
    </row>
    <row r="2048" spans="8:10">
      <c r="H2048" t="e">
        <v>#N/A</v>
      </c>
      <c r="J2048" t="e">
        <v>#N/A</v>
      </c>
    </row>
    <row r="2049" spans="8:10">
      <c r="H2049" t="e">
        <v>#N/A</v>
      </c>
      <c r="J2049" t="e">
        <v>#N/A</v>
      </c>
    </row>
    <row r="2050" spans="8:10">
      <c r="H2050" t="e">
        <v>#N/A</v>
      </c>
      <c r="J2050" t="e">
        <v>#N/A</v>
      </c>
    </row>
    <row r="2051" spans="8:10">
      <c r="H2051" t="e">
        <v>#N/A</v>
      </c>
      <c r="J2051" t="e">
        <v>#N/A</v>
      </c>
    </row>
    <row r="2052" spans="8:10">
      <c r="H2052" t="e">
        <v>#N/A</v>
      </c>
      <c r="J2052" t="e">
        <v>#N/A</v>
      </c>
    </row>
    <row r="2053" spans="8:10">
      <c r="H2053" t="e">
        <v>#N/A</v>
      </c>
      <c r="J2053" t="e">
        <v>#N/A</v>
      </c>
    </row>
    <row r="2054" spans="8:10">
      <c r="H2054" t="e">
        <v>#N/A</v>
      </c>
      <c r="J2054" t="e">
        <v>#N/A</v>
      </c>
    </row>
    <row r="2055" spans="8:10">
      <c r="H2055" t="e">
        <v>#N/A</v>
      </c>
      <c r="J2055" t="e">
        <v>#N/A</v>
      </c>
    </row>
    <row r="2056" spans="8:10">
      <c r="H2056" t="e">
        <v>#N/A</v>
      </c>
      <c r="J2056" t="e">
        <v>#N/A</v>
      </c>
    </row>
    <row r="2057" spans="8:10">
      <c r="H2057" t="e">
        <v>#N/A</v>
      </c>
      <c r="J2057" t="e">
        <v>#N/A</v>
      </c>
    </row>
    <row r="2058" spans="8:10">
      <c r="H2058" t="e">
        <v>#N/A</v>
      </c>
      <c r="J2058" t="e">
        <v>#N/A</v>
      </c>
    </row>
    <row r="2059" spans="8:10">
      <c r="H2059" t="e">
        <v>#N/A</v>
      </c>
      <c r="J2059" t="e">
        <v>#N/A</v>
      </c>
    </row>
    <row r="2060" spans="8:10">
      <c r="H2060" t="e">
        <v>#N/A</v>
      </c>
      <c r="J2060" t="e">
        <v>#N/A</v>
      </c>
    </row>
    <row r="2061" spans="8:10">
      <c r="H2061" t="e">
        <v>#N/A</v>
      </c>
      <c r="J2061" t="e">
        <v>#N/A</v>
      </c>
    </row>
    <row r="2062" spans="8:10">
      <c r="H2062" t="e">
        <v>#N/A</v>
      </c>
      <c r="J2062" t="e">
        <v>#N/A</v>
      </c>
    </row>
    <row r="2063" spans="8:10">
      <c r="H2063" t="e">
        <v>#N/A</v>
      </c>
      <c r="J2063" t="e">
        <v>#N/A</v>
      </c>
    </row>
    <row r="2064" spans="8:10">
      <c r="H2064" t="e">
        <v>#N/A</v>
      </c>
      <c r="J2064" t="e">
        <v>#N/A</v>
      </c>
    </row>
    <row r="2065" spans="8:10">
      <c r="H2065" t="e">
        <v>#N/A</v>
      </c>
      <c r="J2065" t="e">
        <v>#N/A</v>
      </c>
    </row>
    <row r="2066" spans="8:10">
      <c r="H2066" t="e">
        <v>#N/A</v>
      </c>
      <c r="J2066" t="e">
        <v>#N/A</v>
      </c>
    </row>
    <row r="2067" spans="8:10">
      <c r="H2067" t="e">
        <v>#N/A</v>
      </c>
      <c r="J2067" t="e">
        <v>#N/A</v>
      </c>
    </row>
    <row r="2068" spans="8:10">
      <c r="H2068" t="e">
        <v>#N/A</v>
      </c>
      <c r="J2068" t="e">
        <v>#N/A</v>
      </c>
    </row>
    <row r="2069" spans="8:10">
      <c r="H2069" t="e">
        <v>#N/A</v>
      </c>
      <c r="J2069" t="e">
        <v>#N/A</v>
      </c>
    </row>
    <row r="2070" spans="8:10">
      <c r="H2070" t="e">
        <v>#N/A</v>
      </c>
      <c r="J2070" t="e">
        <v>#N/A</v>
      </c>
    </row>
    <row r="2071" spans="8:10">
      <c r="H2071" t="e">
        <v>#N/A</v>
      </c>
      <c r="J2071" t="e">
        <v>#N/A</v>
      </c>
    </row>
    <row r="2072" spans="8:10">
      <c r="H2072" t="e">
        <v>#N/A</v>
      </c>
      <c r="J2072" t="e">
        <v>#N/A</v>
      </c>
    </row>
    <row r="2073" spans="8:10">
      <c r="H2073" t="e">
        <v>#N/A</v>
      </c>
      <c r="J2073" t="e">
        <v>#N/A</v>
      </c>
    </row>
    <row r="2074" spans="8:10">
      <c r="H2074" t="e">
        <v>#N/A</v>
      </c>
      <c r="J2074" t="e">
        <v>#N/A</v>
      </c>
    </row>
    <row r="2075" spans="8:10">
      <c r="H2075" t="e">
        <v>#N/A</v>
      </c>
      <c r="J2075" t="e">
        <v>#N/A</v>
      </c>
    </row>
    <row r="2076" spans="8:10">
      <c r="H2076" t="e">
        <v>#N/A</v>
      </c>
      <c r="J2076" t="e">
        <v>#N/A</v>
      </c>
    </row>
    <row r="2077" spans="8:10">
      <c r="H2077" t="e">
        <v>#N/A</v>
      </c>
      <c r="J2077" t="e">
        <v>#N/A</v>
      </c>
    </row>
    <row r="2078" spans="8:10">
      <c r="H2078" t="e">
        <v>#N/A</v>
      </c>
      <c r="J2078" t="e">
        <v>#N/A</v>
      </c>
    </row>
    <row r="2079" spans="8:10">
      <c r="H2079" t="e">
        <v>#N/A</v>
      </c>
      <c r="J2079" t="e">
        <v>#N/A</v>
      </c>
    </row>
    <row r="2080" spans="8:10">
      <c r="H2080" t="e">
        <v>#N/A</v>
      </c>
      <c r="J2080" t="e">
        <v>#N/A</v>
      </c>
    </row>
    <row r="2081" spans="8:10">
      <c r="H2081" t="e">
        <v>#N/A</v>
      </c>
      <c r="J2081" t="e">
        <v>#N/A</v>
      </c>
    </row>
    <row r="2082" spans="8:10">
      <c r="H2082" t="e">
        <v>#N/A</v>
      </c>
      <c r="J2082" t="e">
        <v>#N/A</v>
      </c>
    </row>
    <row r="2083" spans="8:10">
      <c r="H2083" t="e">
        <v>#N/A</v>
      </c>
      <c r="J2083" t="e">
        <v>#N/A</v>
      </c>
    </row>
    <row r="2084" spans="8:10">
      <c r="H2084" t="e">
        <v>#N/A</v>
      </c>
      <c r="J2084" t="e">
        <v>#N/A</v>
      </c>
    </row>
    <row r="2085" spans="8:10">
      <c r="H2085" t="e">
        <v>#N/A</v>
      </c>
      <c r="J2085" t="e">
        <v>#N/A</v>
      </c>
    </row>
    <row r="2086" spans="8:10">
      <c r="H2086" t="e">
        <v>#N/A</v>
      </c>
      <c r="J2086" t="e">
        <v>#N/A</v>
      </c>
    </row>
    <row r="2087" spans="8:10">
      <c r="H2087" t="e">
        <v>#N/A</v>
      </c>
      <c r="J2087" t="e">
        <v>#N/A</v>
      </c>
    </row>
    <row r="2088" spans="8:10">
      <c r="H2088" t="e">
        <v>#N/A</v>
      </c>
      <c r="J2088" t="e">
        <v>#N/A</v>
      </c>
    </row>
    <row r="2089" spans="8:10">
      <c r="H2089" t="e">
        <v>#N/A</v>
      </c>
      <c r="J2089" t="e">
        <v>#N/A</v>
      </c>
    </row>
    <row r="2090" spans="8:10">
      <c r="H2090" t="e">
        <v>#N/A</v>
      </c>
      <c r="J2090" t="e">
        <v>#N/A</v>
      </c>
    </row>
    <row r="2091" spans="8:10">
      <c r="H2091" t="e">
        <v>#N/A</v>
      </c>
      <c r="J2091" t="e">
        <v>#N/A</v>
      </c>
    </row>
    <row r="2092" spans="8:10">
      <c r="H2092" t="e">
        <v>#N/A</v>
      </c>
      <c r="J2092" t="e">
        <v>#N/A</v>
      </c>
    </row>
    <row r="2093" spans="8:10">
      <c r="H2093" t="e">
        <v>#N/A</v>
      </c>
      <c r="J2093" t="e">
        <v>#N/A</v>
      </c>
    </row>
    <row r="2094" spans="8:10">
      <c r="H2094" t="e">
        <v>#N/A</v>
      </c>
      <c r="J2094" t="e">
        <v>#N/A</v>
      </c>
    </row>
    <row r="2095" spans="8:10">
      <c r="H2095" t="e">
        <v>#N/A</v>
      </c>
      <c r="J2095" t="e">
        <v>#N/A</v>
      </c>
    </row>
    <row r="2096" spans="8:10">
      <c r="H2096" t="e">
        <v>#N/A</v>
      </c>
      <c r="J2096" t="e">
        <v>#N/A</v>
      </c>
    </row>
    <row r="2097" spans="8:10">
      <c r="H2097" t="e">
        <v>#N/A</v>
      </c>
      <c r="J2097" t="e">
        <v>#N/A</v>
      </c>
    </row>
    <row r="2098" spans="8:10">
      <c r="H2098" t="e">
        <v>#N/A</v>
      </c>
      <c r="J2098" t="e">
        <v>#N/A</v>
      </c>
    </row>
    <row r="2099" spans="8:10">
      <c r="H2099" t="e">
        <v>#N/A</v>
      </c>
      <c r="J2099" t="e">
        <v>#N/A</v>
      </c>
    </row>
    <row r="2100" spans="8:10">
      <c r="H2100" t="e">
        <v>#N/A</v>
      </c>
      <c r="J2100" t="e">
        <v>#N/A</v>
      </c>
    </row>
    <row r="2101" spans="8:10">
      <c r="H2101" t="e">
        <v>#N/A</v>
      </c>
      <c r="J2101" t="e">
        <v>#N/A</v>
      </c>
    </row>
    <row r="2102" spans="8:10">
      <c r="H2102" t="e">
        <v>#N/A</v>
      </c>
      <c r="J2102" t="e">
        <v>#N/A</v>
      </c>
    </row>
    <row r="2103" spans="8:10">
      <c r="H2103" t="e">
        <v>#N/A</v>
      </c>
      <c r="J2103" t="e">
        <v>#N/A</v>
      </c>
    </row>
    <row r="2104" spans="8:10">
      <c r="H2104" t="e">
        <v>#N/A</v>
      </c>
      <c r="J2104" t="e">
        <v>#N/A</v>
      </c>
    </row>
    <row r="2105" spans="8:10">
      <c r="H2105" t="e">
        <v>#N/A</v>
      </c>
      <c r="J2105" t="e">
        <v>#N/A</v>
      </c>
    </row>
    <row r="2106" spans="8:10">
      <c r="H2106" t="e">
        <v>#N/A</v>
      </c>
      <c r="J2106" t="e">
        <v>#N/A</v>
      </c>
    </row>
    <row r="2107" spans="8:10">
      <c r="H2107" t="e">
        <v>#N/A</v>
      </c>
      <c r="J2107" t="e">
        <v>#N/A</v>
      </c>
    </row>
    <row r="2108" spans="8:10">
      <c r="H2108" t="e">
        <v>#N/A</v>
      </c>
      <c r="J2108" t="e">
        <v>#N/A</v>
      </c>
    </row>
    <row r="2109" spans="8:10">
      <c r="H2109" t="e">
        <v>#N/A</v>
      </c>
      <c r="J2109" t="e">
        <v>#N/A</v>
      </c>
    </row>
    <row r="2110" spans="8:10">
      <c r="H2110" t="e">
        <v>#N/A</v>
      </c>
      <c r="J2110" t="e">
        <v>#N/A</v>
      </c>
    </row>
    <row r="2111" spans="8:10">
      <c r="H2111" t="e">
        <v>#N/A</v>
      </c>
      <c r="J2111" t="e">
        <v>#N/A</v>
      </c>
    </row>
    <row r="2112" spans="8:10">
      <c r="H2112" t="e">
        <v>#N/A</v>
      </c>
      <c r="J2112" t="e">
        <v>#N/A</v>
      </c>
    </row>
    <row r="2113" spans="8:10">
      <c r="H2113" t="e">
        <v>#N/A</v>
      </c>
      <c r="J2113" t="e">
        <v>#N/A</v>
      </c>
    </row>
    <row r="2114" spans="8:10">
      <c r="H2114" t="e">
        <v>#N/A</v>
      </c>
      <c r="J2114" t="e">
        <v>#N/A</v>
      </c>
    </row>
    <row r="2115" spans="8:10">
      <c r="H2115" t="e">
        <v>#N/A</v>
      </c>
      <c r="J2115" t="e">
        <v>#N/A</v>
      </c>
    </row>
    <row r="2116" spans="8:10">
      <c r="H2116" t="e">
        <v>#N/A</v>
      </c>
      <c r="J2116" t="e">
        <v>#N/A</v>
      </c>
    </row>
    <row r="2117" spans="8:10">
      <c r="H2117" t="e">
        <v>#N/A</v>
      </c>
      <c r="J2117" t="e">
        <v>#N/A</v>
      </c>
    </row>
    <row r="2118" spans="8:10">
      <c r="H2118" t="e">
        <v>#N/A</v>
      </c>
      <c r="J2118" t="e">
        <v>#N/A</v>
      </c>
    </row>
    <row r="2119" spans="8:10">
      <c r="H2119" t="e">
        <v>#N/A</v>
      </c>
      <c r="J2119" t="e">
        <v>#N/A</v>
      </c>
    </row>
    <row r="2120" spans="8:10">
      <c r="H2120" t="e">
        <v>#N/A</v>
      </c>
      <c r="J2120" t="e">
        <v>#N/A</v>
      </c>
    </row>
    <row r="2121" spans="8:10">
      <c r="H2121" t="e">
        <v>#N/A</v>
      </c>
      <c r="J2121" t="e">
        <v>#N/A</v>
      </c>
    </row>
    <row r="2122" spans="8:10">
      <c r="H2122" t="e">
        <v>#N/A</v>
      </c>
      <c r="J2122" t="e">
        <v>#N/A</v>
      </c>
    </row>
    <row r="2123" spans="8:10">
      <c r="H2123" t="e">
        <v>#N/A</v>
      </c>
      <c r="J2123" t="e">
        <v>#N/A</v>
      </c>
    </row>
    <row r="2124" spans="8:10">
      <c r="H2124" t="e">
        <v>#N/A</v>
      </c>
      <c r="J2124" t="e">
        <v>#N/A</v>
      </c>
    </row>
    <row r="2125" spans="8:10">
      <c r="H2125" t="e">
        <v>#N/A</v>
      </c>
      <c r="J2125" t="e">
        <v>#N/A</v>
      </c>
    </row>
    <row r="2126" spans="8:10">
      <c r="H2126" t="e">
        <v>#N/A</v>
      </c>
      <c r="J2126" t="e">
        <v>#N/A</v>
      </c>
    </row>
    <row r="2127" spans="8:10">
      <c r="H2127" t="e">
        <v>#N/A</v>
      </c>
      <c r="J2127" t="e">
        <v>#N/A</v>
      </c>
    </row>
    <row r="2128" spans="8:10">
      <c r="H2128" t="e">
        <v>#N/A</v>
      </c>
      <c r="J2128" t="e">
        <v>#N/A</v>
      </c>
    </row>
    <row r="2129" spans="8:10">
      <c r="H2129" t="e">
        <v>#N/A</v>
      </c>
      <c r="J2129" t="e">
        <v>#N/A</v>
      </c>
    </row>
    <row r="2130" spans="8:10">
      <c r="H2130" t="e">
        <v>#N/A</v>
      </c>
      <c r="J2130" t="e">
        <v>#N/A</v>
      </c>
    </row>
    <row r="2131" spans="8:10">
      <c r="H2131" t="e">
        <v>#N/A</v>
      </c>
      <c r="J2131" t="e">
        <v>#N/A</v>
      </c>
    </row>
    <row r="2132" spans="8:10">
      <c r="H2132" t="e">
        <v>#N/A</v>
      </c>
      <c r="J2132" t="e">
        <v>#N/A</v>
      </c>
    </row>
    <row r="2133" spans="8:10">
      <c r="H2133" t="e">
        <v>#N/A</v>
      </c>
      <c r="J2133" t="e">
        <v>#N/A</v>
      </c>
    </row>
    <row r="2134" spans="8:10">
      <c r="H2134" t="e">
        <v>#N/A</v>
      </c>
      <c r="J2134" t="e">
        <v>#N/A</v>
      </c>
    </row>
    <row r="2135" spans="8:10">
      <c r="H2135" t="e">
        <v>#N/A</v>
      </c>
      <c r="J2135" t="e">
        <v>#N/A</v>
      </c>
    </row>
    <row r="2136" spans="8:10">
      <c r="H2136" t="e">
        <v>#N/A</v>
      </c>
      <c r="J2136" t="e">
        <v>#N/A</v>
      </c>
    </row>
    <row r="2137" spans="8:10">
      <c r="H2137" t="e">
        <v>#N/A</v>
      </c>
      <c r="J2137" t="e">
        <v>#N/A</v>
      </c>
    </row>
    <row r="2138" spans="8:10">
      <c r="H2138" t="e">
        <v>#N/A</v>
      </c>
      <c r="J2138" t="e">
        <v>#N/A</v>
      </c>
    </row>
    <row r="2139" spans="8:10">
      <c r="H2139" t="e">
        <v>#N/A</v>
      </c>
      <c r="J2139" t="e">
        <v>#N/A</v>
      </c>
    </row>
    <row r="2140" spans="8:10">
      <c r="H2140" t="e">
        <v>#N/A</v>
      </c>
      <c r="J2140" t="e">
        <v>#N/A</v>
      </c>
    </row>
    <row r="2141" spans="8:10">
      <c r="H2141" t="e">
        <v>#N/A</v>
      </c>
      <c r="J2141" t="e">
        <v>#N/A</v>
      </c>
    </row>
    <row r="2142" spans="8:10">
      <c r="H2142" t="e">
        <v>#N/A</v>
      </c>
      <c r="J2142" t="e">
        <v>#N/A</v>
      </c>
    </row>
    <row r="2143" spans="8:10">
      <c r="H2143" t="e">
        <v>#N/A</v>
      </c>
      <c r="J2143" t="e">
        <v>#N/A</v>
      </c>
    </row>
    <row r="2144" spans="8:10">
      <c r="H2144" t="e">
        <v>#N/A</v>
      </c>
      <c r="J2144" t="e">
        <v>#N/A</v>
      </c>
    </row>
    <row r="2145" spans="8:10">
      <c r="H2145" t="e">
        <v>#N/A</v>
      </c>
      <c r="J2145" t="e">
        <v>#N/A</v>
      </c>
    </row>
    <row r="2146" spans="8:10">
      <c r="H2146" t="e">
        <v>#N/A</v>
      </c>
      <c r="J2146" t="e">
        <v>#N/A</v>
      </c>
    </row>
    <row r="2147" spans="8:10">
      <c r="H2147" t="e">
        <v>#N/A</v>
      </c>
      <c r="J2147" t="e">
        <v>#N/A</v>
      </c>
    </row>
    <row r="2148" spans="8:10">
      <c r="H2148" t="e">
        <v>#N/A</v>
      </c>
      <c r="J2148" t="e">
        <v>#N/A</v>
      </c>
    </row>
    <row r="2149" spans="8:10">
      <c r="H2149" t="e">
        <v>#N/A</v>
      </c>
      <c r="J2149" t="e">
        <v>#N/A</v>
      </c>
    </row>
    <row r="2150" spans="8:10">
      <c r="H2150" t="e">
        <v>#N/A</v>
      </c>
      <c r="J2150" t="e">
        <v>#N/A</v>
      </c>
    </row>
    <row r="2151" spans="8:10">
      <c r="H2151" t="e">
        <v>#N/A</v>
      </c>
      <c r="J2151" t="e">
        <v>#N/A</v>
      </c>
    </row>
    <row r="2152" spans="8:10">
      <c r="H2152" t="e">
        <v>#N/A</v>
      </c>
      <c r="J2152" t="e">
        <v>#N/A</v>
      </c>
    </row>
    <row r="2153" spans="8:10">
      <c r="H2153" t="e">
        <v>#N/A</v>
      </c>
      <c r="J2153" t="e">
        <v>#N/A</v>
      </c>
    </row>
    <row r="2154" spans="8:10">
      <c r="H2154" t="e">
        <v>#N/A</v>
      </c>
      <c r="J2154" t="e">
        <v>#N/A</v>
      </c>
    </row>
    <row r="2155" spans="8:10">
      <c r="H2155" t="e">
        <v>#N/A</v>
      </c>
      <c r="J2155" t="e">
        <v>#N/A</v>
      </c>
    </row>
    <row r="2156" spans="8:10">
      <c r="H2156" t="e">
        <v>#N/A</v>
      </c>
      <c r="J2156" t="e">
        <v>#N/A</v>
      </c>
    </row>
    <row r="2157" spans="8:10">
      <c r="H2157" t="e">
        <v>#N/A</v>
      </c>
      <c r="J2157" t="e">
        <v>#N/A</v>
      </c>
    </row>
    <row r="2158" spans="8:10">
      <c r="H2158" t="e">
        <v>#N/A</v>
      </c>
      <c r="J2158" t="e">
        <v>#N/A</v>
      </c>
    </row>
    <row r="2159" spans="8:10">
      <c r="H2159" t="e">
        <v>#N/A</v>
      </c>
      <c r="J2159" t="e">
        <v>#N/A</v>
      </c>
    </row>
    <row r="2160" spans="8:10">
      <c r="H2160" t="e">
        <v>#N/A</v>
      </c>
      <c r="J2160" t="e">
        <v>#N/A</v>
      </c>
    </row>
    <row r="2161" spans="8:10">
      <c r="H2161" t="e">
        <v>#N/A</v>
      </c>
      <c r="J2161" t="e">
        <v>#N/A</v>
      </c>
    </row>
    <row r="2162" spans="8:10">
      <c r="H2162" t="e">
        <v>#N/A</v>
      </c>
      <c r="J2162" t="e">
        <v>#N/A</v>
      </c>
    </row>
    <row r="2163" spans="8:10">
      <c r="H2163" t="e">
        <v>#N/A</v>
      </c>
      <c r="J2163" t="e">
        <v>#N/A</v>
      </c>
    </row>
    <row r="2164" spans="8:10">
      <c r="H2164" t="e">
        <v>#N/A</v>
      </c>
      <c r="J2164" t="e">
        <v>#N/A</v>
      </c>
    </row>
    <row r="2165" spans="8:10">
      <c r="H2165" t="e">
        <v>#N/A</v>
      </c>
      <c r="J2165" t="e">
        <v>#N/A</v>
      </c>
    </row>
    <row r="2166" spans="8:10">
      <c r="H2166" t="e">
        <v>#N/A</v>
      </c>
      <c r="J2166" t="e">
        <v>#N/A</v>
      </c>
    </row>
    <row r="2167" spans="8:10">
      <c r="H2167" t="e">
        <v>#N/A</v>
      </c>
      <c r="J2167" t="e">
        <v>#N/A</v>
      </c>
    </row>
    <row r="2168" spans="8:10">
      <c r="H2168" t="e">
        <v>#N/A</v>
      </c>
      <c r="J2168" t="e">
        <v>#N/A</v>
      </c>
    </row>
    <row r="2169" spans="8:10">
      <c r="H2169" t="e">
        <v>#N/A</v>
      </c>
      <c r="J2169" t="e">
        <v>#N/A</v>
      </c>
    </row>
    <row r="2170" spans="8:10">
      <c r="H2170" t="e">
        <v>#N/A</v>
      </c>
      <c r="J2170" t="e">
        <v>#N/A</v>
      </c>
    </row>
    <row r="2171" spans="8:10">
      <c r="H2171" t="e">
        <v>#N/A</v>
      </c>
      <c r="J2171" t="e">
        <v>#N/A</v>
      </c>
    </row>
    <row r="2172" spans="8:10">
      <c r="H2172" t="e">
        <v>#N/A</v>
      </c>
      <c r="J2172" t="e">
        <v>#N/A</v>
      </c>
    </row>
    <row r="2173" spans="8:10">
      <c r="H2173" t="e">
        <v>#N/A</v>
      </c>
      <c r="J2173" t="e">
        <v>#N/A</v>
      </c>
    </row>
    <row r="2174" spans="8:10">
      <c r="H2174" t="e">
        <v>#N/A</v>
      </c>
      <c r="J2174" t="e">
        <v>#N/A</v>
      </c>
    </row>
    <row r="2175" spans="8:10">
      <c r="H2175" t="e">
        <v>#N/A</v>
      </c>
      <c r="J2175" t="e">
        <v>#N/A</v>
      </c>
    </row>
    <row r="2176" spans="8:10">
      <c r="H2176" t="e">
        <v>#N/A</v>
      </c>
      <c r="J2176" t="e">
        <v>#N/A</v>
      </c>
    </row>
    <row r="2177" spans="8:10">
      <c r="H2177" t="e">
        <v>#N/A</v>
      </c>
      <c r="J2177" t="e">
        <v>#N/A</v>
      </c>
    </row>
    <row r="2178" spans="8:10">
      <c r="H2178" t="e">
        <v>#N/A</v>
      </c>
      <c r="J2178" t="e">
        <v>#N/A</v>
      </c>
    </row>
    <row r="2179" spans="8:10">
      <c r="H2179" t="e">
        <v>#N/A</v>
      </c>
      <c r="J2179" t="e">
        <v>#N/A</v>
      </c>
    </row>
    <row r="2180" spans="8:10">
      <c r="H2180" t="e">
        <v>#N/A</v>
      </c>
      <c r="J2180" t="e">
        <v>#N/A</v>
      </c>
    </row>
    <row r="2181" spans="8:10">
      <c r="H2181" t="e">
        <v>#N/A</v>
      </c>
      <c r="J2181" t="e">
        <v>#N/A</v>
      </c>
    </row>
    <row r="2182" spans="8:10">
      <c r="H2182" t="e">
        <v>#N/A</v>
      </c>
      <c r="J2182" t="e">
        <v>#N/A</v>
      </c>
    </row>
    <row r="2183" spans="8:10">
      <c r="H2183" t="e">
        <v>#N/A</v>
      </c>
      <c r="J2183" t="e">
        <v>#N/A</v>
      </c>
    </row>
    <row r="2184" spans="8:10">
      <c r="H2184" t="e">
        <v>#N/A</v>
      </c>
      <c r="J2184" t="e">
        <v>#N/A</v>
      </c>
    </row>
    <row r="2185" spans="8:10">
      <c r="H2185" t="e">
        <v>#N/A</v>
      </c>
      <c r="J2185" t="e">
        <v>#N/A</v>
      </c>
    </row>
    <row r="2186" spans="8:10">
      <c r="H2186" t="e">
        <v>#N/A</v>
      </c>
      <c r="J2186" t="e">
        <v>#N/A</v>
      </c>
    </row>
    <row r="2187" spans="8:10">
      <c r="H2187" t="e">
        <v>#N/A</v>
      </c>
      <c r="J2187" t="e">
        <v>#N/A</v>
      </c>
    </row>
    <row r="2188" spans="8:10">
      <c r="H2188" t="e">
        <v>#N/A</v>
      </c>
      <c r="J2188" t="e">
        <v>#N/A</v>
      </c>
    </row>
    <row r="2189" spans="8:10">
      <c r="H2189" t="e">
        <v>#N/A</v>
      </c>
      <c r="J2189" t="e">
        <v>#N/A</v>
      </c>
    </row>
    <row r="2190" spans="8:10">
      <c r="H2190" t="e">
        <v>#N/A</v>
      </c>
      <c r="J2190" t="e">
        <v>#N/A</v>
      </c>
    </row>
    <row r="2191" spans="8:10">
      <c r="H2191" t="e">
        <v>#N/A</v>
      </c>
      <c r="J2191" t="e">
        <v>#N/A</v>
      </c>
    </row>
    <row r="2192" spans="8:10">
      <c r="H2192" t="e">
        <v>#N/A</v>
      </c>
      <c r="J2192" t="e">
        <v>#N/A</v>
      </c>
    </row>
    <row r="2193" spans="8:10">
      <c r="H2193" t="e">
        <v>#N/A</v>
      </c>
      <c r="J2193" t="e">
        <v>#N/A</v>
      </c>
    </row>
    <row r="2194" spans="8:10">
      <c r="H2194" t="e">
        <v>#N/A</v>
      </c>
      <c r="J2194" t="e">
        <v>#N/A</v>
      </c>
    </row>
    <row r="2195" spans="8:10">
      <c r="H2195" t="e">
        <v>#N/A</v>
      </c>
      <c r="J2195" t="e">
        <v>#N/A</v>
      </c>
    </row>
    <row r="2196" spans="8:10">
      <c r="H2196" t="e">
        <v>#N/A</v>
      </c>
      <c r="J2196" t="e">
        <v>#N/A</v>
      </c>
    </row>
    <row r="2197" spans="8:10">
      <c r="H2197" t="e">
        <v>#N/A</v>
      </c>
      <c r="J2197" t="e">
        <v>#N/A</v>
      </c>
    </row>
    <row r="2198" spans="8:10">
      <c r="H2198" t="e">
        <v>#N/A</v>
      </c>
      <c r="J2198" t="e">
        <v>#N/A</v>
      </c>
    </row>
    <row r="2199" spans="8:10">
      <c r="H2199" t="e">
        <v>#N/A</v>
      </c>
      <c r="J2199" t="e">
        <v>#N/A</v>
      </c>
    </row>
    <row r="2200" spans="8:10">
      <c r="H2200" t="e">
        <v>#N/A</v>
      </c>
      <c r="J2200" t="e">
        <v>#N/A</v>
      </c>
    </row>
    <row r="2201" spans="8:10">
      <c r="H2201" t="e">
        <v>#N/A</v>
      </c>
      <c r="J2201" t="e">
        <v>#N/A</v>
      </c>
    </row>
    <row r="2202" spans="8:10">
      <c r="H2202" t="e">
        <v>#N/A</v>
      </c>
      <c r="J2202" t="e">
        <v>#N/A</v>
      </c>
    </row>
    <row r="2203" spans="8:10">
      <c r="H2203" t="e">
        <v>#N/A</v>
      </c>
      <c r="J2203" t="e">
        <v>#N/A</v>
      </c>
    </row>
    <row r="2204" spans="8:10">
      <c r="H2204" t="e">
        <v>#N/A</v>
      </c>
      <c r="J2204" t="e">
        <v>#N/A</v>
      </c>
    </row>
    <row r="2205" spans="8:10">
      <c r="H2205" t="e">
        <v>#N/A</v>
      </c>
      <c r="J2205" t="e">
        <v>#N/A</v>
      </c>
    </row>
    <row r="2206" spans="8:10">
      <c r="H2206" t="e">
        <v>#N/A</v>
      </c>
      <c r="J2206" t="e">
        <v>#N/A</v>
      </c>
    </row>
    <row r="2207" spans="8:10">
      <c r="H2207" t="e">
        <v>#N/A</v>
      </c>
      <c r="J2207" t="e">
        <v>#N/A</v>
      </c>
    </row>
    <row r="2208" spans="8:10">
      <c r="H2208" t="e">
        <v>#N/A</v>
      </c>
      <c r="J2208" t="e">
        <v>#N/A</v>
      </c>
    </row>
    <row r="2209" spans="8:10">
      <c r="H2209" t="e">
        <v>#N/A</v>
      </c>
      <c r="J2209" t="e">
        <v>#N/A</v>
      </c>
    </row>
    <row r="2210" spans="8:10">
      <c r="H2210" t="e">
        <v>#N/A</v>
      </c>
      <c r="J2210" t="e">
        <v>#N/A</v>
      </c>
    </row>
    <row r="2211" spans="8:10">
      <c r="H2211" t="e">
        <v>#N/A</v>
      </c>
      <c r="J2211" t="e">
        <v>#N/A</v>
      </c>
    </row>
    <row r="2212" spans="8:10">
      <c r="H2212" t="e">
        <v>#N/A</v>
      </c>
      <c r="J2212" t="e">
        <v>#N/A</v>
      </c>
    </row>
    <row r="2213" spans="8:10">
      <c r="H2213" t="e">
        <v>#N/A</v>
      </c>
      <c r="J2213" t="e">
        <v>#N/A</v>
      </c>
    </row>
    <row r="2214" spans="8:10">
      <c r="H2214" t="e">
        <v>#N/A</v>
      </c>
      <c r="J2214" t="e">
        <v>#N/A</v>
      </c>
    </row>
    <row r="2215" spans="8:10">
      <c r="H2215" t="e">
        <v>#N/A</v>
      </c>
      <c r="J2215" t="e">
        <v>#N/A</v>
      </c>
    </row>
    <row r="2216" spans="8:10">
      <c r="H2216" t="e">
        <v>#N/A</v>
      </c>
      <c r="J2216" t="e">
        <v>#N/A</v>
      </c>
    </row>
    <row r="2217" spans="8:10">
      <c r="H2217" t="e">
        <v>#N/A</v>
      </c>
      <c r="J2217" t="e">
        <v>#N/A</v>
      </c>
    </row>
    <row r="2218" spans="8:10">
      <c r="H2218" t="e">
        <v>#N/A</v>
      </c>
      <c r="J2218" t="e">
        <v>#N/A</v>
      </c>
    </row>
    <row r="2219" spans="8:10">
      <c r="H2219" t="e">
        <v>#N/A</v>
      </c>
      <c r="J2219" t="e">
        <v>#N/A</v>
      </c>
    </row>
    <row r="2220" spans="8:10">
      <c r="H2220" t="e">
        <v>#N/A</v>
      </c>
      <c r="J2220" t="e">
        <v>#N/A</v>
      </c>
    </row>
    <row r="2221" spans="8:10">
      <c r="H2221" t="e">
        <v>#N/A</v>
      </c>
      <c r="J2221" t="e">
        <v>#N/A</v>
      </c>
    </row>
    <row r="2222" spans="8:10">
      <c r="H2222" t="e">
        <v>#N/A</v>
      </c>
      <c r="J2222" t="e">
        <v>#N/A</v>
      </c>
    </row>
    <row r="2223" spans="8:10">
      <c r="H2223" t="e">
        <v>#N/A</v>
      </c>
      <c r="J2223" t="e">
        <v>#N/A</v>
      </c>
    </row>
    <row r="2224" spans="8:10">
      <c r="H2224" t="e">
        <v>#N/A</v>
      </c>
      <c r="J2224" t="e">
        <v>#N/A</v>
      </c>
    </row>
    <row r="2225" spans="8:10">
      <c r="H2225" t="e">
        <v>#N/A</v>
      </c>
      <c r="J2225" t="e">
        <v>#N/A</v>
      </c>
    </row>
    <row r="2226" spans="8:10">
      <c r="H2226" t="e">
        <v>#N/A</v>
      </c>
      <c r="J2226" t="e">
        <v>#N/A</v>
      </c>
    </row>
    <row r="2227" spans="8:10">
      <c r="H2227" t="e">
        <v>#N/A</v>
      </c>
      <c r="J2227" t="e">
        <v>#N/A</v>
      </c>
    </row>
    <row r="2228" spans="8:10">
      <c r="H2228" t="e">
        <v>#N/A</v>
      </c>
      <c r="J2228" t="e">
        <v>#N/A</v>
      </c>
    </row>
    <row r="2229" spans="8:10">
      <c r="H2229" t="e">
        <v>#N/A</v>
      </c>
      <c r="J2229" t="e">
        <v>#N/A</v>
      </c>
    </row>
    <row r="2230" spans="8:10">
      <c r="H2230" t="e">
        <v>#N/A</v>
      </c>
      <c r="J2230" t="e">
        <v>#N/A</v>
      </c>
    </row>
    <row r="2231" spans="8:10">
      <c r="H2231" t="e">
        <v>#N/A</v>
      </c>
      <c r="J2231" t="e">
        <v>#N/A</v>
      </c>
    </row>
    <row r="2232" spans="8:10">
      <c r="H2232" t="e">
        <v>#N/A</v>
      </c>
      <c r="J2232" t="e">
        <v>#N/A</v>
      </c>
    </row>
    <row r="2233" spans="8:10">
      <c r="H2233" t="e">
        <v>#N/A</v>
      </c>
      <c r="J2233" t="e">
        <v>#N/A</v>
      </c>
    </row>
    <row r="2234" spans="8:10">
      <c r="H2234" t="e">
        <v>#N/A</v>
      </c>
      <c r="J2234" t="e">
        <v>#N/A</v>
      </c>
    </row>
    <row r="2235" spans="8:10">
      <c r="H2235" t="e">
        <v>#N/A</v>
      </c>
      <c r="J2235" t="e">
        <v>#N/A</v>
      </c>
    </row>
    <row r="2236" spans="8:10">
      <c r="H2236" t="e">
        <v>#N/A</v>
      </c>
      <c r="J2236" t="e">
        <v>#N/A</v>
      </c>
    </row>
    <row r="2237" spans="8:10">
      <c r="H2237" t="e">
        <v>#N/A</v>
      </c>
      <c r="J2237" t="e">
        <v>#N/A</v>
      </c>
    </row>
    <row r="2238" spans="8:10">
      <c r="H2238" t="e">
        <v>#N/A</v>
      </c>
      <c r="J2238" t="e">
        <v>#N/A</v>
      </c>
    </row>
    <row r="2239" spans="8:10">
      <c r="H2239" t="e">
        <v>#N/A</v>
      </c>
      <c r="J2239" t="e">
        <v>#N/A</v>
      </c>
    </row>
    <row r="2240" spans="8:10">
      <c r="H2240" t="e">
        <v>#N/A</v>
      </c>
      <c r="J2240" t="e">
        <v>#N/A</v>
      </c>
    </row>
    <row r="2241" spans="8:10">
      <c r="H2241" t="e">
        <v>#N/A</v>
      </c>
      <c r="J2241" t="e">
        <v>#N/A</v>
      </c>
    </row>
    <row r="2242" spans="8:10">
      <c r="H2242" t="e">
        <v>#N/A</v>
      </c>
      <c r="J2242" t="e">
        <v>#N/A</v>
      </c>
    </row>
    <row r="2243" spans="8:10">
      <c r="H2243" t="e">
        <v>#N/A</v>
      </c>
      <c r="J2243" t="e">
        <v>#N/A</v>
      </c>
    </row>
    <row r="2244" spans="8:10">
      <c r="H2244" t="e">
        <v>#N/A</v>
      </c>
      <c r="J2244" t="e">
        <v>#N/A</v>
      </c>
    </row>
    <row r="2245" spans="8:10">
      <c r="H2245" t="e">
        <v>#N/A</v>
      </c>
      <c r="J2245" t="e">
        <v>#N/A</v>
      </c>
    </row>
    <row r="2246" spans="8:10">
      <c r="H2246" t="e">
        <v>#N/A</v>
      </c>
      <c r="J2246" t="e">
        <v>#N/A</v>
      </c>
    </row>
    <row r="2247" spans="8:10">
      <c r="H2247" t="e">
        <v>#N/A</v>
      </c>
      <c r="J2247" t="e">
        <v>#N/A</v>
      </c>
    </row>
    <row r="2248" spans="8:10">
      <c r="H2248" t="e">
        <v>#N/A</v>
      </c>
      <c r="J2248" t="e">
        <v>#N/A</v>
      </c>
    </row>
    <row r="2249" spans="8:10">
      <c r="H2249" t="e">
        <v>#N/A</v>
      </c>
      <c r="J2249" t="e">
        <v>#N/A</v>
      </c>
    </row>
    <row r="2250" spans="8:10">
      <c r="H2250" t="e">
        <v>#N/A</v>
      </c>
      <c r="J2250" t="e">
        <v>#N/A</v>
      </c>
    </row>
    <row r="2251" spans="8:10">
      <c r="H2251" t="e">
        <v>#N/A</v>
      </c>
      <c r="J2251" t="e">
        <v>#N/A</v>
      </c>
    </row>
    <row r="2252" spans="8:10">
      <c r="H2252" t="e">
        <v>#N/A</v>
      </c>
      <c r="J2252" t="e">
        <v>#N/A</v>
      </c>
    </row>
    <row r="2253" spans="8:10">
      <c r="H2253" t="e">
        <v>#N/A</v>
      </c>
      <c r="J2253" t="e">
        <v>#N/A</v>
      </c>
    </row>
    <row r="2254" spans="8:10">
      <c r="H2254" t="e">
        <v>#N/A</v>
      </c>
      <c r="J2254" t="e">
        <v>#N/A</v>
      </c>
    </row>
    <row r="2255" spans="8:10">
      <c r="H2255" t="e">
        <v>#N/A</v>
      </c>
      <c r="J2255" t="e">
        <v>#N/A</v>
      </c>
    </row>
    <row r="2256" spans="8:10">
      <c r="H2256" t="e">
        <v>#N/A</v>
      </c>
      <c r="J2256" t="e">
        <v>#N/A</v>
      </c>
    </row>
    <row r="2257" spans="8:10">
      <c r="H2257" t="e">
        <v>#N/A</v>
      </c>
      <c r="J2257" t="e">
        <v>#N/A</v>
      </c>
    </row>
    <row r="2258" spans="8:10">
      <c r="H2258" t="e">
        <v>#N/A</v>
      </c>
      <c r="J2258" t="e">
        <v>#N/A</v>
      </c>
    </row>
    <row r="2259" spans="8:10">
      <c r="H2259" t="e">
        <v>#N/A</v>
      </c>
      <c r="J2259" t="e">
        <v>#N/A</v>
      </c>
    </row>
    <row r="2260" spans="8:10">
      <c r="H2260" t="e">
        <v>#N/A</v>
      </c>
      <c r="J2260" t="e">
        <v>#N/A</v>
      </c>
    </row>
    <row r="2261" spans="8:10">
      <c r="H2261" t="e">
        <v>#N/A</v>
      </c>
      <c r="J2261" t="e">
        <v>#N/A</v>
      </c>
    </row>
    <row r="2262" spans="8:10">
      <c r="H2262" t="e">
        <v>#N/A</v>
      </c>
      <c r="J2262" t="e">
        <v>#N/A</v>
      </c>
    </row>
    <row r="2263" spans="8:10">
      <c r="H2263" t="e">
        <v>#N/A</v>
      </c>
      <c r="J2263" t="e">
        <v>#N/A</v>
      </c>
    </row>
    <row r="2264" spans="8:10">
      <c r="H2264" t="e">
        <v>#N/A</v>
      </c>
      <c r="J2264" t="e">
        <v>#N/A</v>
      </c>
    </row>
    <row r="2265" spans="8:10">
      <c r="H2265" t="e">
        <v>#N/A</v>
      </c>
      <c r="J2265" t="e">
        <v>#N/A</v>
      </c>
    </row>
    <row r="2266" spans="8:10">
      <c r="H2266" t="e">
        <v>#N/A</v>
      </c>
      <c r="J2266" t="e">
        <v>#N/A</v>
      </c>
    </row>
    <row r="2267" spans="8:10">
      <c r="H2267" t="e">
        <v>#N/A</v>
      </c>
      <c r="J2267" t="e">
        <v>#N/A</v>
      </c>
    </row>
    <row r="2268" spans="8:10">
      <c r="H2268" t="e">
        <v>#N/A</v>
      </c>
      <c r="J2268" t="e">
        <v>#N/A</v>
      </c>
    </row>
    <row r="2269" spans="8:10">
      <c r="H2269" t="e">
        <v>#N/A</v>
      </c>
      <c r="J2269" t="e">
        <v>#N/A</v>
      </c>
    </row>
    <row r="2270" spans="8:10">
      <c r="H2270" t="e">
        <v>#N/A</v>
      </c>
      <c r="J2270" t="e">
        <v>#N/A</v>
      </c>
    </row>
    <row r="2271" spans="8:10">
      <c r="H2271" t="e">
        <v>#N/A</v>
      </c>
      <c r="J2271" t="e">
        <v>#N/A</v>
      </c>
    </row>
    <row r="2272" spans="8:10">
      <c r="H2272" t="e">
        <v>#N/A</v>
      </c>
      <c r="J2272" t="e">
        <v>#N/A</v>
      </c>
    </row>
    <row r="2273" spans="8:10">
      <c r="H2273" t="e">
        <v>#N/A</v>
      </c>
      <c r="J2273" t="e">
        <v>#N/A</v>
      </c>
    </row>
    <row r="2274" spans="8:10">
      <c r="H2274" t="e">
        <v>#N/A</v>
      </c>
      <c r="J2274" t="e">
        <v>#N/A</v>
      </c>
    </row>
    <row r="2275" spans="8:10">
      <c r="H2275" t="e">
        <v>#N/A</v>
      </c>
      <c r="J2275" t="e">
        <v>#N/A</v>
      </c>
    </row>
    <row r="2276" spans="8:10">
      <c r="H2276" t="e">
        <v>#N/A</v>
      </c>
      <c r="J2276" t="e">
        <v>#N/A</v>
      </c>
    </row>
    <row r="2277" spans="8:10">
      <c r="H2277" t="e">
        <v>#N/A</v>
      </c>
      <c r="J2277" t="e">
        <v>#N/A</v>
      </c>
    </row>
    <row r="2278" spans="8:10">
      <c r="H2278" t="e">
        <v>#N/A</v>
      </c>
      <c r="J2278" t="e">
        <v>#N/A</v>
      </c>
    </row>
    <row r="2279" spans="8:10">
      <c r="H2279" t="e">
        <v>#N/A</v>
      </c>
      <c r="J2279" t="e">
        <v>#N/A</v>
      </c>
    </row>
    <row r="2280" spans="8:10">
      <c r="H2280" t="e">
        <v>#N/A</v>
      </c>
      <c r="J2280" t="e">
        <v>#N/A</v>
      </c>
    </row>
    <row r="2281" spans="8:10">
      <c r="H2281" t="e">
        <v>#N/A</v>
      </c>
      <c r="J2281" t="e">
        <v>#N/A</v>
      </c>
    </row>
    <row r="2282" spans="8:10">
      <c r="H2282" t="e">
        <v>#N/A</v>
      </c>
      <c r="J2282" t="e">
        <v>#N/A</v>
      </c>
    </row>
    <row r="2283" spans="8:10">
      <c r="H2283" t="e">
        <v>#N/A</v>
      </c>
      <c r="J2283" t="e">
        <v>#N/A</v>
      </c>
    </row>
    <row r="2284" spans="8:10">
      <c r="H2284" t="e">
        <v>#N/A</v>
      </c>
      <c r="J2284" t="e">
        <v>#N/A</v>
      </c>
    </row>
    <row r="2285" spans="8:10">
      <c r="H2285" t="e">
        <v>#N/A</v>
      </c>
      <c r="J2285" t="e">
        <v>#N/A</v>
      </c>
    </row>
    <row r="2286" spans="8:10">
      <c r="H2286" t="e">
        <v>#N/A</v>
      </c>
      <c r="J2286" t="e">
        <v>#N/A</v>
      </c>
    </row>
    <row r="2287" spans="8:10">
      <c r="H2287" t="e">
        <v>#N/A</v>
      </c>
      <c r="J2287" t="e">
        <v>#N/A</v>
      </c>
    </row>
    <row r="2288" spans="8:10">
      <c r="H2288" t="e">
        <v>#N/A</v>
      </c>
      <c r="J2288" t="e">
        <v>#N/A</v>
      </c>
    </row>
    <row r="2289" spans="8:10">
      <c r="H2289" t="e">
        <v>#N/A</v>
      </c>
      <c r="J2289" t="e">
        <v>#N/A</v>
      </c>
    </row>
    <row r="2290" spans="8:10">
      <c r="H2290" t="e">
        <v>#N/A</v>
      </c>
      <c r="J2290" t="e">
        <v>#N/A</v>
      </c>
    </row>
    <row r="2291" spans="8:10">
      <c r="H2291" t="e">
        <v>#N/A</v>
      </c>
      <c r="J2291" t="e">
        <v>#N/A</v>
      </c>
    </row>
    <row r="2292" spans="8:10">
      <c r="H2292" t="e">
        <v>#N/A</v>
      </c>
      <c r="J2292" t="e">
        <v>#N/A</v>
      </c>
    </row>
    <row r="2293" spans="8:10">
      <c r="H2293" t="e">
        <v>#N/A</v>
      </c>
      <c r="J2293" t="e">
        <v>#N/A</v>
      </c>
    </row>
    <row r="2294" spans="8:10">
      <c r="H2294" t="e">
        <v>#N/A</v>
      </c>
      <c r="J2294" t="e">
        <v>#N/A</v>
      </c>
    </row>
    <row r="2295" spans="8:10">
      <c r="H2295" t="e">
        <v>#N/A</v>
      </c>
      <c r="J2295" t="e">
        <v>#N/A</v>
      </c>
    </row>
    <row r="2296" spans="8:10">
      <c r="H2296" t="e">
        <v>#N/A</v>
      </c>
      <c r="J2296" t="e">
        <v>#N/A</v>
      </c>
    </row>
    <row r="2297" spans="8:10">
      <c r="H2297" t="e">
        <v>#N/A</v>
      </c>
      <c r="J2297" t="e">
        <v>#N/A</v>
      </c>
    </row>
    <row r="2298" spans="8:10">
      <c r="H2298" t="e">
        <v>#N/A</v>
      </c>
      <c r="J2298" t="e">
        <v>#N/A</v>
      </c>
    </row>
    <row r="2299" spans="8:10">
      <c r="H2299" t="e">
        <v>#N/A</v>
      </c>
      <c r="J2299" t="e">
        <v>#N/A</v>
      </c>
    </row>
    <row r="2300" spans="8:10">
      <c r="H2300" t="e">
        <v>#N/A</v>
      </c>
      <c r="J2300" t="e">
        <v>#N/A</v>
      </c>
    </row>
    <row r="2301" spans="8:10">
      <c r="H2301" t="e">
        <v>#N/A</v>
      </c>
      <c r="J2301" t="e">
        <v>#N/A</v>
      </c>
    </row>
    <row r="2302" spans="8:10">
      <c r="H2302" t="e">
        <v>#N/A</v>
      </c>
      <c r="J2302" t="e">
        <v>#N/A</v>
      </c>
    </row>
    <row r="2303" spans="8:10">
      <c r="H2303" t="e">
        <v>#N/A</v>
      </c>
      <c r="J2303" t="e">
        <v>#N/A</v>
      </c>
    </row>
    <row r="2304" spans="8:10">
      <c r="H2304" t="e">
        <v>#N/A</v>
      </c>
      <c r="J2304" t="e">
        <v>#N/A</v>
      </c>
    </row>
    <row r="2305" spans="8:10">
      <c r="H2305" t="e">
        <v>#N/A</v>
      </c>
      <c r="J2305" t="e">
        <v>#N/A</v>
      </c>
    </row>
    <row r="2306" spans="8:10">
      <c r="H2306" t="e">
        <v>#N/A</v>
      </c>
      <c r="J2306" t="e">
        <v>#N/A</v>
      </c>
    </row>
    <row r="2307" spans="8:10">
      <c r="H2307" t="e">
        <v>#N/A</v>
      </c>
      <c r="J2307" t="e">
        <v>#N/A</v>
      </c>
    </row>
    <row r="2308" spans="8:10">
      <c r="H2308" t="e">
        <v>#N/A</v>
      </c>
      <c r="J2308" t="e">
        <v>#N/A</v>
      </c>
    </row>
    <row r="2309" spans="8:10">
      <c r="H2309" t="e">
        <v>#N/A</v>
      </c>
      <c r="J2309" t="e">
        <v>#N/A</v>
      </c>
    </row>
    <row r="2310" spans="8:10">
      <c r="H2310" t="e">
        <v>#N/A</v>
      </c>
      <c r="J2310" t="e">
        <v>#N/A</v>
      </c>
    </row>
    <row r="2311" spans="8:10">
      <c r="H2311" t="e">
        <v>#N/A</v>
      </c>
      <c r="J2311" t="e">
        <v>#N/A</v>
      </c>
    </row>
    <row r="2312" spans="8:10">
      <c r="H2312" t="e">
        <v>#N/A</v>
      </c>
      <c r="J2312" t="e">
        <v>#N/A</v>
      </c>
    </row>
    <row r="2313" spans="8:10">
      <c r="H2313" t="e">
        <v>#N/A</v>
      </c>
      <c r="J2313" t="e">
        <v>#N/A</v>
      </c>
    </row>
    <row r="2314" spans="8:10">
      <c r="H2314" t="e">
        <v>#N/A</v>
      </c>
      <c r="J2314" t="e">
        <v>#N/A</v>
      </c>
    </row>
    <row r="2315" spans="8:10">
      <c r="H2315" t="e">
        <v>#N/A</v>
      </c>
      <c r="J2315" t="e">
        <v>#N/A</v>
      </c>
    </row>
    <row r="2316" spans="8:10">
      <c r="H2316" t="e">
        <v>#N/A</v>
      </c>
      <c r="J2316" t="e">
        <v>#N/A</v>
      </c>
    </row>
    <row r="2317" spans="8:10">
      <c r="H2317" t="e">
        <v>#N/A</v>
      </c>
      <c r="J2317" t="e">
        <v>#N/A</v>
      </c>
    </row>
    <row r="2318" spans="8:10">
      <c r="H2318" t="e">
        <v>#N/A</v>
      </c>
      <c r="J2318" t="e">
        <v>#N/A</v>
      </c>
    </row>
    <row r="2319" spans="8:10">
      <c r="H2319" t="e">
        <v>#N/A</v>
      </c>
      <c r="J2319" t="e">
        <v>#N/A</v>
      </c>
    </row>
    <row r="2320" spans="8:10">
      <c r="H2320" t="e">
        <v>#N/A</v>
      </c>
      <c r="J2320" t="e">
        <v>#N/A</v>
      </c>
    </row>
    <row r="2321" spans="8:10">
      <c r="H2321" t="e">
        <v>#N/A</v>
      </c>
      <c r="J2321" t="e">
        <v>#N/A</v>
      </c>
    </row>
    <row r="2322" spans="8:10">
      <c r="H2322" t="e">
        <v>#N/A</v>
      </c>
      <c r="J2322" t="e">
        <v>#N/A</v>
      </c>
    </row>
    <row r="2323" spans="8:10">
      <c r="H2323" t="e">
        <v>#N/A</v>
      </c>
      <c r="J2323" t="e">
        <v>#N/A</v>
      </c>
    </row>
    <row r="2324" spans="8:10">
      <c r="H2324" t="e">
        <v>#N/A</v>
      </c>
      <c r="J2324" t="e">
        <v>#N/A</v>
      </c>
    </row>
    <row r="2325" spans="8:10">
      <c r="H2325" t="e">
        <v>#N/A</v>
      </c>
      <c r="J2325" t="e">
        <v>#N/A</v>
      </c>
    </row>
    <row r="2326" spans="8:10">
      <c r="H2326" t="e">
        <v>#N/A</v>
      </c>
      <c r="J2326" t="e">
        <v>#N/A</v>
      </c>
    </row>
    <row r="2327" spans="8:10">
      <c r="H2327" t="e">
        <v>#N/A</v>
      </c>
      <c r="J2327" t="e">
        <v>#N/A</v>
      </c>
    </row>
    <row r="2328" spans="8:10">
      <c r="H2328" t="e">
        <v>#N/A</v>
      </c>
      <c r="J2328" t="e">
        <v>#N/A</v>
      </c>
    </row>
    <row r="2329" spans="8:10">
      <c r="H2329" t="e">
        <v>#N/A</v>
      </c>
      <c r="J2329" t="e">
        <v>#N/A</v>
      </c>
    </row>
    <row r="2330" spans="8:10">
      <c r="H2330" t="e">
        <v>#N/A</v>
      </c>
      <c r="J2330" t="e">
        <v>#N/A</v>
      </c>
    </row>
    <row r="2331" spans="8:10">
      <c r="H2331" t="e">
        <v>#N/A</v>
      </c>
      <c r="J2331" t="e">
        <v>#N/A</v>
      </c>
    </row>
    <row r="2332" spans="8:10">
      <c r="H2332" t="e">
        <v>#N/A</v>
      </c>
      <c r="J2332" t="e">
        <v>#N/A</v>
      </c>
    </row>
    <row r="2333" spans="8:10">
      <c r="H2333" t="e">
        <v>#N/A</v>
      </c>
      <c r="J2333" t="e">
        <v>#N/A</v>
      </c>
    </row>
    <row r="2334" spans="8:10">
      <c r="H2334" t="e">
        <v>#N/A</v>
      </c>
      <c r="J2334" t="e">
        <v>#N/A</v>
      </c>
    </row>
    <row r="2335" spans="8:10">
      <c r="H2335" t="e">
        <v>#N/A</v>
      </c>
      <c r="J2335" t="e">
        <v>#N/A</v>
      </c>
    </row>
    <row r="2336" spans="8:10">
      <c r="H2336" t="e">
        <v>#N/A</v>
      </c>
      <c r="J2336" t="e">
        <v>#N/A</v>
      </c>
    </row>
    <row r="2337" spans="8:10">
      <c r="H2337" t="e">
        <v>#N/A</v>
      </c>
      <c r="J2337" t="e">
        <v>#N/A</v>
      </c>
    </row>
    <row r="2338" spans="8:10">
      <c r="H2338" t="e">
        <v>#N/A</v>
      </c>
      <c r="J2338" t="e">
        <v>#N/A</v>
      </c>
    </row>
    <row r="2339" spans="8:10">
      <c r="H2339" t="e">
        <v>#N/A</v>
      </c>
      <c r="J2339" t="e">
        <v>#N/A</v>
      </c>
    </row>
    <row r="2340" spans="8:10">
      <c r="H2340" t="e">
        <v>#N/A</v>
      </c>
      <c r="J2340" t="e">
        <v>#N/A</v>
      </c>
    </row>
    <row r="2341" spans="8:10">
      <c r="H2341" t="e">
        <v>#N/A</v>
      </c>
      <c r="J2341" t="e">
        <v>#N/A</v>
      </c>
    </row>
    <row r="2342" spans="8:10">
      <c r="H2342" t="e">
        <v>#N/A</v>
      </c>
      <c r="J2342" t="e">
        <v>#N/A</v>
      </c>
    </row>
    <row r="2343" spans="8:10">
      <c r="H2343" t="e">
        <v>#N/A</v>
      </c>
      <c r="J2343" t="e">
        <v>#N/A</v>
      </c>
    </row>
    <row r="2344" spans="8:10">
      <c r="H2344" t="e">
        <v>#N/A</v>
      </c>
      <c r="J2344" t="e">
        <v>#N/A</v>
      </c>
    </row>
    <row r="2345" spans="8:10">
      <c r="H2345" t="e">
        <v>#N/A</v>
      </c>
      <c r="J2345" t="e">
        <v>#N/A</v>
      </c>
    </row>
    <row r="2346" spans="8:10">
      <c r="H2346" t="e">
        <v>#N/A</v>
      </c>
      <c r="J2346" t="e">
        <v>#N/A</v>
      </c>
    </row>
    <row r="2347" spans="8:10">
      <c r="H2347" t="e">
        <v>#N/A</v>
      </c>
      <c r="J2347" t="e">
        <v>#N/A</v>
      </c>
    </row>
    <row r="2348" spans="8:10">
      <c r="H2348" t="e">
        <v>#N/A</v>
      </c>
      <c r="J2348" t="e">
        <v>#N/A</v>
      </c>
    </row>
    <row r="2349" spans="8:10">
      <c r="H2349" t="e">
        <v>#N/A</v>
      </c>
      <c r="J2349" t="e">
        <v>#N/A</v>
      </c>
    </row>
    <row r="2350" spans="8:10">
      <c r="H2350" t="e">
        <v>#N/A</v>
      </c>
      <c r="J2350" t="e">
        <v>#N/A</v>
      </c>
    </row>
    <row r="2351" spans="8:10">
      <c r="H2351" t="e">
        <v>#N/A</v>
      </c>
      <c r="J2351" t="e">
        <v>#N/A</v>
      </c>
    </row>
    <row r="2352" spans="8:10">
      <c r="H2352" t="e">
        <v>#N/A</v>
      </c>
      <c r="J2352" t="e">
        <v>#N/A</v>
      </c>
    </row>
    <row r="2353" spans="8:10">
      <c r="H2353" t="e">
        <v>#N/A</v>
      </c>
      <c r="J2353" t="e">
        <v>#N/A</v>
      </c>
    </row>
    <row r="2354" spans="8:10">
      <c r="H2354" t="e">
        <v>#N/A</v>
      </c>
      <c r="J2354" t="e">
        <v>#N/A</v>
      </c>
    </row>
    <row r="2355" spans="8:10">
      <c r="H2355" t="e">
        <v>#N/A</v>
      </c>
      <c r="J2355" t="e">
        <v>#N/A</v>
      </c>
    </row>
    <row r="2356" spans="8:10">
      <c r="H2356" t="e">
        <v>#N/A</v>
      </c>
      <c r="J2356" t="e">
        <v>#N/A</v>
      </c>
    </row>
    <row r="2357" spans="8:10">
      <c r="H2357" t="e">
        <v>#N/A</v>
      </c>
      <c r="J2357" t="e">
        <v>#N/A</v>
      </c>
    </row>
    <row r="2358" spans="8:10">
      <c r="H2358" t="e">
        <v>#N/A</v>
      </c>
      <c r="J2358" t="e">
        <v>#N/A</v>
      </c>
    </row>
    <row r="2359" spans="8:10">
      <c r="H2359" t="e">
        <v>#N/A</v>
      </c>
      <c r="J2359" t="e">
        <v>#N/A</v>
      </c>
    </row>
    <row r="2360" spans="8:10">
      <c r="H2360" t="e">
        <v>#N/A</v>
      </c>
      <c r="J2360" t="e">
        <v>#N/A</v>
      </c>
    </row>
    <row r="2361" spans="8:10">
      <c r="H2361" t="e">
        <v>#N/A</v>
      </c>
      <c r="J2361" t="e">
        <v>#N/A</v>
      </c>
    </row>
    <row r="2362" spans="8:10">
      <c r="H2362" t="e">
        <v>#N/A</v>
      </c>
      <c r="J2362" t="e">
        <v>#N/A</v>
      </c>
    </row>
    <row r="2363" spans="8:10">
      <c r="H2363" t="e">
        <v>#N/A</v>
      </c>
      <c r="J2363" t="e">
        <v>#N/A</v>
      </c>
    </row>
    <row r="2364" spans="8:10">
      <c r="H2364" t="e">
        <v>#N/A</v>
      </c>
      <c r="J2364" t="e">
        <v>#N/A</v>
      </c>
    </row>
    <row r="2365" spans="8:10">
      <c r="H2365" t="e">
        <v>#N/A</v>
      </c>
      <c r="J2365" t="e">
        <v>#N/A</v>
      </c>
    </row>
    <row r="2366" spans="8:10">
      <c r="H2366" t="e">
        <v>#N/A</v>
      </c>
      <c r="J2366" t="e">
        <v>#N/A</v>
      </c>
    </row>
    <row r="2367" spans="8:10">
      <c r="H2367" t="e">
        <v>#N/A</v>
      </c>
      <c r="J2367" t="e">
        <v>#N/A</v>
      </c>
    </row>
    <row r="2368" spans="8:10">
      <c r="H2368" t="e">
        <v>#N/A</v>
      </c>
      <c r="J2368" t="e">
        <v>#N/A</v>
      </c>
    </row>
    <row r="2369" spans="8:10">
      <c r="H2369" t="e">
        <v>#N/A</v>
      </c>
      <c r="J2369" t="e">
        <v>#N/A</v>
      </c>
    </row>
    <row r="2370" spans="8:10">
      <c r="H2370" t="e">
        <v>#N/A</v>
      </c>
      <c r="J2370" t="e">
        <v>#N/A</v>
      </c>
    </row>
    <row r="2371" spans="8:10">
      <c r="H2371" t="e">
        <v>#N/A</v>
      </c>
      <c r="J2371" t="e">
        <v>#N/A</v>
      </c>
    </row>
    <row r="2372" spans="8:10">
      <c r="H2372" t="e">
        <v>#N/A</v>
      </c>
      <c r="J2372" t="e">
        <v>#N/A</v>
      </c>
    </row>
    <row r="2373" spans="8:10">
      <c r="H2373" t="e">
        <v>#N/A</v>
      </c>
      <c r="J2373" t="e">
        <v>#N/A</v>
      </c>
    </row>
    <row r="2374" spans="8:10">
      <c r="H2374" t="e">
        <v>#N/A</v>
      </c>
      <c r="J2374" t="e">
        <v>#N/A</v>
      </c>
    </row>
    <row r="2375" spans="8:10">
      <c r="H2375" t="e">
        <v>#N/A</v>
      </c>
      <c r="J2375" t="e">
        <v>#N/A</v>
      </c>
    </row>
    <row r="2376" spans="8:10">
      <c r="H2376" t="e">
        <v>#N/A</v>
      </c>
      <c r="J2376" t="e">
        <v>#N/A</v>
      </c>
    </row>
    <row r="2377" spans="8:10">
      <c r="H2377" t="e">
        <v>#N/A</v>
      </c>
      <c r="J2377" t="e">
        <v>#N/A</v>
      </c>
    </row>
    <row r="2378" spans="8:10">
      <c r="H2378" t="e">
        <v>#N/A</v>
      </c>
      <c r="J2378" t="e">
        <v>#N/A</v>
      </c>
    </row>
    <row r="2379" spans="8:10">
      <c r="H2379" t="e">
        <v>#N/A</v>
      </c>
      <c r="J2379" t="e">
        <v>#N/A</v>
      </c>
    </row>
    <row r="2380" spans="8:10">
      <c r="H2380" t="e">
        <v>#N/A</v>
      </c>
      <c r="J2380" t="e">
        <v>#N/A</v>
      </c>
    </row>
    <row r="2381" spans="8:10">
      <c r="H2381" t="e">
        <v>#N/A</v>
      </c>
      <c r="J2381" t="e">
        <v>#N/A</v>
      </c>
    </row>
    <row r="2382" spans="8:10">
      <c r="H2382" t="e">
        <v>#N/A</v>
      </c>
      <c r="J2382" t="e">
        <v>#N/A</v>
      </c>
    </row>
    <row r="2383" spans="8:10">
      <c r="H2383" t="e">
        <v>#N/A</v>
      </c>
      <c r="J2383" t="e">
        <v>#N/A</v>
      </c>
    </row>
    <row r="2384" spans="8:10">
      <c r="H2384" t="e">
        <v>#N/A</v>
      </c>
      <c r="J2384" t="e">
        <v>#N/A</v>
      </c>
    </row>
    <row r="2385" spans="8:10">
      <c r="H2385" t="e">
        <v>#N/A</v>
      </c>
      <c r="J2385" t="e">
        <v>#N/A</v>
      </c>
    </row>
    <row r="2386" spans="8:10">
      <c r="H2386" t="e">
        <v>#N/A</v>
      </c>
      <c r="J2386" t="e">
        <v>#N/A</v>
      </c>
    </row>
    <row r="2387" spans="8:10">
      <c r="H2387" t="e">
        <v>#N/A</v>
      </c>
      <c r="J2387" t="e">
        <v>#N/A</v>
      </c>
    </row>
    <row r="2388" spans="8:10">
      <c r="H2388" t="e">
        <v>#N/A</v>
      </c>
      <c r="J2388" t="e">
        <v>#N/A</v>
      </c>
    </row>
    <row r="2389" spans="8:10">
      <c r="H2389" t="e">
        <v>#N/A</v>
      </c>
      <c r="J2389" t="e">
        <v>#N/A</v>
      </c>
    </row>
    <row r="2390" spans="8:10">
      <c r="H2390" t="e">
        <v>#N/A</v>
      </c>
      <c r="J2390" t="e">
        <v>#N/A</v>
      </c>
    </row>
    <row r="2391" spans="8:10">
      <c r="H2391" t="e">
        <v>#N/A</v>
      </c>
      <c r="J2391" t="e">
        <v>#N/A</v>
      </c>
    </row>
    <row r="2392" spans="8:10">
      <c r="H2392" t="e">
        <v>#N/A</v>
      </c>
      <c r="J2392" t="e">
        <v>#N/A</v>
      </c>
    </row>
    <row r="2393" spans="8:10">
      <c r="H2393" t="e">
        <v>#N/A</v>
      </c>
      <c r="J2393" t="e">
        <v>#N/A</v>
      </c>
    </row>
    <row r="2394" spans="8:10">
      <c r="H2394" t="e">
        <v>#N/A</v>
      </c>
      <c r="J2394" t="e">
        <v>#N/A</v>
      </c>
    </row>
    <row r="2395" spans="8:10">
      <c r="H2395" t="e">
        <v>#N/A</v>
      </c>
      <c r="J2395" t="e">
        <v>#N/A</v>
      </c>
    </row>
    <row r="2396" spans="8:10">
      <c r="H2396" t="e">
        <v>#N/A</v>
      </c>
      <c r="J2396" t="e">
        <v>#N/A</v>
      </c>
    </row>
    <row r="2397" spans="8:10">
      <c r="H2397" t="e">
        <v>#N/A</v>
      </c>
      <c r="J2397" t="e">
        <v>#N/A</v>
      </c>
    </row>
    <row r="2398" spans="8:10">
      <c r="H2398" t="e">
        <v>#N/A</v>
      </c>
      <c r="J2398" t="e">
        <v>#N/A</v>
      </c>
    </row>
    <row r="2399" spans="8:10">
      <c r="H2399" t="e">
        <v>#N/A</v>
      </c>
      <c r="J2399" t="e">
        <v>#N/A</v>
      </c>
    </row>
    <row r="2400" spans="8:10">
      <c r="H2400" t="e">
        <v>#N/A</v>
      </c>
      <c r="J2400" t="e">
        <v>#N/A</v>
      </c>
    </row>
    <row r="2401" spans="8:10">
      <c r="H2401" t="e">
        <v>#N/A</v>
      </c>
      <c r="J2401" t="e">
        <v>#N/A</v>
      </c>
    </row>
    <row r="2402" spans="8:10">
      <c r="H2402" t="e">
        <v>#N/A</v>
      </c>
      <c r="J2402" t="e">
        <v>#N/A</v>
      </c>
    </row>
    <row r="2403" spans="8:10">
      <c r="H2403" t="e">
        <v>#N/A</v>
      </c>
      <c r="J2403" t="e">
        <v>#N/A</v>
      </c>
    </row>
    <row r="2404" spans="8:10">
      <c r="H2404" t="e">
        <v>#N/A</v>
      </c>
      <c r="J2404" t="e">
        <v>#N/A</v>
      </c>
    </row>
    <row r="2405" spans="8:10">
      <c r="H2405" t="e">
        <v>#N/A</v>
      </c>
      <c r="J2405" t="e">
        <v>#N/A</v>
      </c>
    </row>
    <row r="2406" spans="8:10">
      <c r="H2406" t="e">
        <v>#N/A</v>
      </c>
      <c r="J2406" t="e">
        <v>#N/A</v>
      </c>
    </row>
    <row r="2407" spans="8:10">
      <c r="H2407" t="e">
        <v>#N/A</v>
      </c>
      <c r="J2407" t="e">
        <v>#N/A</v>
      </c>
    </row>
    <row r="2408" spans="8:10">
      <c r="H2408" t="e">
        <v>#N/A</v>
      </c>
      <c r="J2408" t="e">
        <v>#N/A</v>
      </c>
    </row>
    <row r="2409" spans="8:10">
      <c r="H2409" t="e">
        <v>#N/A</v>
      </c>
      <c r="J2409" t="e">
        <v>#N/A</v>
      </c>
    </row>
    <row r="2410" spans="8:10">
      <c r="H2410" t="e">
        <v>#N/A</v>
      </c>
      <c r="J2410" t="e">
        <v>#N/A</v>
      </c>
    </row>
    <row r="2411" spans="8:10">
      <c r="H2411" t="e">
        <v>#N/A</v>
      </c>
      <c r="J2411" t="e">
        <v>#N/A</v>
      </c>
    </row>
    <row r="2412" spans="8:10">
      <c r="H2412" t="e">
        <v>#N/A</v>
      </c>
      <c r="J2412" t="e">
        <v>#N/A</v>
      </c>
    </row>
    <row r="2413" spans="8:10">
      <c r="H2413" t="e">
        <v>#N/A</v>
      </c>
      <c r="J2413" t="e">
        <v>#N/A</v>
      </c>
    </row>
    <row r="2414" spans="8:10">
      <c r="H2414" t="e">
        <v>#N/A</v>
      </c>
      <c r="J2414" t="e">
        <v>#N/A</v>
      </c>
    </row>
    <row r="2415" spans="8:10">
      <c r="H2415" t="e">
        <v>#N/A</v>
      </c>
      <c r="J2415" t="e">
        <v>#N/A</v>
      </c>
    </row>
    <row r="2416" spans="8:10">
      <c r="H2416" t="e">
        <v>#N/A</v>
      </c>
      <c r="J2416" t="e">
        <v>#N/A</v>
      </c>
    </row>
    <row r="2417" spans="8:10">
      <c r="H2417" t="e">
        <v>#N/A</v>
      </c>
      <c r="J2417" t="e">
        <v>#N/A</v>
      </c>
    </row>
    <row r="2418" spans="8:10">
      <c r="H2418" t="e">
        <v>#N/A</v>
      </c>
      <c r="J2418" t="e">
        <v>#N/A</v>
      </c>
    </row>
    <row r="2419" spans="8:10">
      <c r="H2419" t="e">
        <v>#N/A</v>
      </c>
      <c r="J2419" t="e">
        <v>#N/A</v>
      </c>
    </row>
    <row r="2420" spans="8:10">
      <c r="H2420" t="e">
        <v>#N/A</v>
      </c>
      <c r="J2420" t="e">
        <v>#N/A</v>
      </c>
    </row>
    <row r="2421" spans="8:10">
      <c r="H2421" t="e">
        <v>#N/A</v>
      </c>
      <c r="J2421" t="e">
        <v>#N/A</v>
      </c>
    </row>
    <row r="2422" spans="8:10">
      <c r="H2422" t="e">
        <v>#N/A</v>
      </c>
      <c r="J2422" t="e">
        <v>#N/A</v>
      </c>
    </row>
    <row r="2423" spans="8:10">
      <c r="H2423" t="e">
        <v>#N/A</v>
      </c>
      <c r="J2423" t="e">
        <v>#N/A</v>
      </c>
    </row>
    <row r="2424" spans="8:10">
      <c r="H2424" t="e">
        <v>#N/A</v>
      </c>
      <c r="J2424" t="e">
        <v>#N/A</v>
      </c>
    </row>
    <row r="2425" spans="8:10">
      <c r="H2425" t="e">
        <v>#N/A</v>
      </c>
      <c r="J2425" t="e">
        <v>#N/A</v>
      </c>
    </row>
    <row r="2426" spans="8:10">
      <c r="H2426" t="e">
        <v>#N/A</v>
      </c>
      <c r="J2426" t="e">
        <v>#N/A</v>
      </c>
    </row>
    <row r="2427" spans="8:10">
      <c r="H2427" t="e">
        <v>#N/A</v>
      </c>
      <c r="J2427" t="e">
        <v>#N/A</v>
      </c>
    </row>
    <row r="2428" spans="8:10">
      <c r="H2428" t="e">
        <v>#N/A</v>
      </c>
      <c r="J2428" t="e">
        <v>#N/A</v>
      </c>
    </row>
    <row r="2429" spans="8:10">
      <c r="H2429" t="e">
        <v>#N/A</v>
      </c>
      <c r="J2429" t="e">
        <v>#N/A</v>
      </c>
    </row>
    <row r="2430" spans="8:10">
      <c r="H2430" t="e">
        <v>#N/A</v>
      </c>
      <c r="J2430" t="e">
        <v>#N/A</v>
      </c>
    </row>
    <row r="2431" spans="8:10">
      <c r="H2431" t="e">
        <v>#N/A</v>
      </c>
      <c r="J2431" t="e">
        <v>#N/A</v>
      </c>
    </row>
    <row r="2432" spans="8:10">
      <c r="H2432" t="e">
        <v>#N/A</v>
      </c>
      <c r="J2432" t="e">
        <v>#N/A</v>
      </c>
    </row>
    <row r="2433" spans="8:10">
      <c r="H2433" t="e">
        <v>#N/A</v>
      </c>
      <c r="J2433" t="e">
        <v>#N/A</v>
      </c>
    </row>
    <row r="2434" spans="8:10">
      <c r="H2434" t="e">
        <v>#N/A</v>
      </c>
      <c r="J2434" t="e">
        <v>#N/A</v>
      </c>
    </row>
    <row r="2435" spans="8:10">
      <c r="H2435" t="e">
        <v>#N/A</v>
      </c>
      <c r="J2435" t="e">
        <v>#N/A</v>
      </c>
    </row>
    <row r="2436" spans="8:10">
      <c r="H2436" t="e">
        <v>#N/A</v>
      </c>
      <c r="J2436" t="e">
        <v>#N/A</v>
      </c>
    </row>
    <row r="2437" spans="8:10">
      <c r="H2437" t="e">
        <v>#N/A</v>
      </c>
      <c r="J2437" t="e">
        <v>#N/A</v>
      </c>
    </row>
    <row r="2438" spans="8:10">
      <c r="H2438" t="e">
        <v>#N/A</v>
      </c>
      <c r="J2438" t="e">
        <v>#N/A</v>
      </c>
    </row>
    <row r="2439" spans="8:10">
      <c r="H2439" t="e">
        <v>#N/A</v>
      </c>
      <c r="J2439" t="e">
        <v>#N/A</v>
      </c>
    </row>
    <row r="2440" spans="8:10">
      <c r="H2440" t="e">
        <v>#N/A</v>
      </c>
      <c r="J2440" t="e">
        <v>#N/A</v>
      </c>
    </row>
    <row r="2441" spans="8:10">
      <c r="H2441" t="e">
        <v>#N/A</v>
      </c>
      <c r="J2441" t="e">
        <v>#N/A</v>
      </c>
    </row>
    <row r="2442" spans="8:10">
      <c r="H2442" t="e">
        <v>#N/A</v>
      </c>
      <c r="J2442" t="e">
        <v>#N/A</v>
      </c>
    </row>
    <row r="2443" spans="8:10">
      <c r="H2443" t="e">
        <v>#N/A</v>
      </c>
      <c r="J2443" t="e">
        <v>#N/A</v>
      </c>
    </row>
    <row r="2444" spans="8:10">
      <c r="H2444" t="e">
        <v>#N/A</v>
      </c>
      <c r="J2444" t="e">
        <v>#N/A</v>
      </c>
    </row>
    <row r="2445" spans="8:10">
      <c r="H2445" t="e">
        <v>#N/A</v>
      </c>
      <c r="J2445" t="e">
        <v>#N/A</v>
      </c>
    </row>
    <row r="2446" spans="8:10">
      <c r="H2446" t="e">
        <v>#N/A</v>
      </c>
      <c r="J2446" t="e">
        <v>#N/A</v>
      </c>
    </row>
    <row r="2447" spans="8:10">
      <c r="H2447" t="e">
        <v>#N/A</v>
      </c>
      <c r="J2447" t="e">
        <v>#N/A</v>
      </c>
    </row>
    <row r="2448" spans="8:10">
      <c r="H2448" t="e">
        <v>#N/A</v>
      </c>
      <c r="J2448" t="e">
        <v>#N/A</v>
      </c>
    </row>
    <row r="2449" spans="8:10">
      <c r="H2449" t="e">
        <v>#N/A</v>
      </c>
      <c r="J2449" t="e">
        <v>#N/A</v>
      </c>
    </row>
    <row r="2450" spans="8:10">
      <c r="H2450" t="e">
        <v>#N/A</v>
      </c>
      <c r="J2450" t="e">
        <v>#N/A</v>
      </c>
    </row>
    <row r="2451" spans="8:10">
      <c r="H2451" t="e">
        <v>#N/A</v>
      </c>
      <c r="J2451" t="e">
        <v>#N/A</v>
      </c>
    </row>
    <row r="2452" spans="8:10">
      <c r="H2452" t="e">
        <v>#N/A</v>
      </c>
      <c r="J2452" t="e">
        <v>#N/A</v>
      </c>
    </row>
    <row r="2453" spans="8:10">
      <c r="H2453" t="e">
        <v>#N/A</v>
      </c>
      <c r="J2453" t="e">
        <v>#N/A</v>
      </c>
    </row>
    <row r="2454" spans="8:10">
      <c r="H2454" t="e">
        <v>#N/A</v>
      </c>
      <c r="J2454" t="e">
        <v>#N/A</v>
      </c>
    </row>
    <row r="2455" spans="8:10">
      <c r="H2455" t="e">
        <v>#N/A</v>
      </c>
      <c r="J2455" t="e">
        <v>#N/A</v>
      </c>
    </row>
    <row r="2456" spans="8:10">
      <c r="H2456" t="e">
        <v>#N/A</v>
      </c>
      <c r="J2456" t="e">
        <v>#N/A</v>
      </c>
    </row>
    <row r="2457" spans="8:10">
      <c r="H2457" t="e">
        <v>#N/A</v>
      </c>
      <c r="J2457" t="e">
        <v>#N/A</v>
      </c>
    </row>
    <row r="2458" spans="8:10">
      <c r="H2458" t="e">
        <v>#N/A</v>
      </c>
      <c r="J2458" t="e">
        <v>#N/A</v>
      </c>
    </row>
    <row r="2459" spans="8:10">
      <c r="H2459" t="e">
        <v>#N/A</v>
      </c>
      <c r="J2459" t="e">
        <v>#N/A</v>
      </c>
    </row>
    <row r="2460" spans="8:10">
      <c r="H2460" t="e">
        <v>#N/A</v>
      </c>
      <c r="J2460" t="e">
        <v>#N/A</v>
      </c>
    </row>
    <row r="2461" spans="8:10">
      <c r="H2461" t="e">
        <v>#N/A</v>
      </c>
      <c r="J2461" t="e">
        <v>#N/A</v>
      </c>
    </row>
    <row r="2462" spans="8:10">
      <c r="H2462" t="e">
        <v>#N/A</v>
      </c>
      <c r="J2462" t="e">
        <v>#N/A</v>
      </c>
    </row>
    <row r="2463" spans="8:10">
      <c r="H2463" t="e">
        <v>#N/A</v>
      </c>
      <c r="J2463" t="e">
        <v>#N/A</v>
      </c>
    </row>
    <row r="2464" spans="8:10">
      <c r="H2464" t="e">
        <v>#N/A</v>
      </c>
      <c r="J2464" t="e">
        <v>#N/A</v>
      </c>
    </row>
    <row r="2465" spans="8:10">
      <c r="H2465" t="e">
        <v>#N/A</v>
      </c>
      <c r="J2465" t="e">
        <v>#N/A</v>
      </c>
    </row>
    <row r="2466" spans="8:10">
      <c r="H2466" t="e">
        <v>#N/A</v>
      </c>
      <c r="J2466" t="e">
        <v>#N/A</v>
      </c>
    </row>
    <row r="2467" spans="8:10">
      <c r="H2467" t="e">
        <v>#N/A</v>
      </c>
      <c r="J2467" t="e">
        <v>#N/A</v>
      </c>
    </row>
    <row r="2468" spans="8:10">
      <c r="H2468" t="e">
        <v>#N/A</v>
      </c>
      <c r="J2468" t="e">
        <v>#N/A</v>
      </c>
    </row>
    <row r="2469" spans="8:10">
      <c r="H2469" t="e">
        <v>#N/A</v>
      </c>
      <c r="J2469" t="e">
        <v>#N/A</v>
      </c>
    </row>
    <row r="2470" spans="8:10">
      <c r="H2470" t="e">
        <v>#N/A</v>
      </c>
      <c r="J2470" t="e">
        <v>#N/A</v>
      </c>
    </row>
    <row r="2471" spans="8:10">
      <c r="H2471" t="e">
        <v>#N/A</v>
      </c>
      <c r="J2471" t="e">
        <v>#N/A</v>
      </c>
    </row>
    <row r="2472" spans="8:10">
      <c r="H2472" t="e">
        <v>#N/A</v>
      </c>
      <c r="J2472" t="e">
        <v>#N/A</v>
      </c>
    </row>
    <row r="2473" spans="8:10">
      <c r="H2473" t="e">
        <v>#N/A</v>
      </c>
      <c r="J2473" t="e">
        <v>#N/A</v>
      </c>
    </row>
    <row r="2474" spans="8:10">
      <c r="H2474" t="e">
        <v>#N/A</v>
      </c>
      <c r="J2474" t="e">
        <v>#N/A</v>
      </c>
    </row>
    <row r="2475" spans="8:10">
      <c r="H2475" t="e">
        <v>#N/A</v>
      </c>
      <c r="J2475" t="e">
        <v>#N/A</v>
      </c>
    </row>
    <row r="2476" spans="8:10">
      <c r="H2476" t="e">
        <v>#N/A</v>
      </c>
      <c r="J2476" t="e">
        <v>#N/A</v>
      </c>
    </row>
    <row r="2477" spans="8:10">
      <c r="H2477" t="e">
        <v>#N/A</v>
      </c>
      <c r="J2477" t="e">
        <v>#N/A</v>
      </c>
    </row>
    <row r="2478" spans="8:10">
      <c r="H2478" t="e">
        <v>#N/A</v>
      </c>
      <c r="J2478" t="e">
        <v>#N/A</v>
      </c>
    </row>
    <row r="2479" spans="8:10">
      <c r="H2479" t="e">
        <v>#N/A</v>
      </c>
      <c r="J2479" t="e">
        <v>#N/A</v>
      </c>
    </row>
    <row r="2480" spans="8:10">
      <c r="H2480" t="e">
        <v>#N/A</v>
      </c>
      <c r="J2480" t="e">
        <v>#N/A</v>
      </c>
    </row>
    <row r="2481" spans="8:10">
      <c r="H2481" t="e">
        <v>#N/A</v>
      </c>
      <c r="J2481" t="e">
        <v>#N/A</v>
      </c>
    </row>
    <row r="2482" spans="8:10">
      <c r="H2482" t="e">
        <v>#N/A</v>
      </c>
      <c r="J2482" t="e">
        <v>#N/A</v>
      </c>
    </row>
    <row r="2483" spans="8:10">
      <c r="H2483" t="e">
        <v>#N/A</v>
      </c>
      <c r="J2483" t="e">
        <v>#N/A</v>
      </c>
    </row>
    <row r="2484" spans="8:10">
      <c r="H2484" t="e">
        <v>#N/A</v>
      </c>
      <c r="J2484" t="e">
        <v>#N/A</v>
      </c>
    </row>
    <row r="2485" spans="8:10">
      <c r="H2485" t="e">
        <v>#N/A</v>
      </c>
      <c r="J2485" t="e">
        <v>#N/A</v>
      </c>
    </row>
    <row r="2486" spans="8:10">
      <c r="H2486" t="e">
        <v>#N/A</v>
      </c>
      <c r="J2486" t="e">
        <v>#N/A</v>
      </c>
    </row>
    <row r="2487" spans="8:10">
      <c r="H2487" t="e">
        <v>#N/A</v>
      </c>
      <c r="J2487" t="e">
        <v>#N/A</v>
      </c>
    </row>
    <row r="2488" spans="8:10">
      <c r="H2488" t="e">
        <v>#N/A</v>
      </c>
      <c r="J2488" t="e">
        <v>#N/A</v>
      </c>
    </row>
    <row r="2489" spans="8:10">
      <c r="H2489" t="e">
        <v>#N/A</v>
      </c>
      <c r="J2489" t="e">
        <v>#N/A</v>
      </c>
    </row>
    <row r="2490" spans="8:10">
      <c r="H2490" t="e">
        <v>#N/A</v>
      </c>
      <c r="J2490" t="e">
        <v>#N/A</v>
      </c>
    </row>
    <row r="2491" spans="8:10">
      <c r="H2491" t="e">
        <v>#N/A</v>
      </c>
      <c r="J2491" t="e">
        <v>#N/A</v>
      </c>
    </row>
    <row r="2492" spans="8:10">
      <c r="H2492" t="e">
        <v>#N/A</v>
      </c>
      <c r="J2492" t="e">
        <v>#N/A</v>
      </c>
    </row>
    <row r="2493" spans="8:10">
      <c r="H2493" t="e">
        <v>#N/A</v>
      </c>
      <c r="J2493" t="e">
        <v>#N/A</v>
      </c>
    </row>
    <row r="2494" spans="8:10">
      <c r="H2494" t="e">
        <v>#N/A</v>
      </c>
      <c r="J2494" t="e">
        <v>#N/A</v>
      </c>
    </row>
    <row r="2495" spans="8:10">
      <c r="H2495" t="e">
        <v>#N/A</v>
      </c>
      <c r="J2495" t="e">
        <v>#N/A</v>
      </c>
    </row>
    <row r="2496" spans="8:10">
      <c r="H2496" t="e">
        <v>#N/A</v>
      </c>
      <c r="J2496" t="e">
        <v>#N/A</v>
      </c>
    </row>
    <row r="2497" spans="8:10">
      <c r="H2497" t="e">
        <v>#N/A</v>
      </c>
      <c r="J2497" t="e">
        <v>#N/A</v>
      </c>
    </row>
    <row r="2498" spans="8:10">
      <c r="H2498" t="e">
        <v>#N/A</v>
      </c>
      <c r="J2498" t="e">
        <v>#N/A</v>
      </c>
    </row>
    <row r="2499" spans="8:10">
      <c r="H2499" t="e">
        <v>#N/A</v>
      </c>
      <c r="J2499" t="e">
        <v>#N/A</v>
      </c>
    </row>
    <row r="2500" spans="8:10">
      <c r="H2500" t="e">
        <v>#N/A</v>
      </c>
      <c r="J2500" t="e">
        <v>#N/A</v>
      </c>
    </row>
    <row r="2501" spans="8:10">
      <c r="H2501" t="e">
        <v>#N/A</v>
      </c>
      <c r="J2501" t="e">
        <v>#N/A</v>
      </c>
    </row>
    <row r="2502" spans="8:10">
      <c r="H2502" t="e">
        <v>#N/A</v>
      </c>
      <c r="J2502" t="e">
        <v>#N/A</v>
      </c>
    </row>
    <row r="2503" spans="8:10">
      <c r="H2503" t="e">
        <v>#N/A</v>
      </c>
      <c r="J2503" t="e">
        <v>#N/A</v>
      </c>
    </row>
    <row r="2504" spans="8:10">
      <c r="H2504" t="e">
        <v>#N/A</v>
      </c>
      <c r="J2504" t="e">
        <v>#N/A</v>
      </c>
    </row>
    <row r="2505" spans="8:10">
      <c r="H2505" t="e">
        <v>#N/A</v>
      </c>
      <c r="J2505" t="e">
        <v>#N/A</v>
      </c>
    </row>
    <row r="2506" spans="8:10">
      <c r="H2506" t="e">
        <v>#N/A</v>
      </c>
      <c r="J2506" t="e">
        <v>#N/A</v>
      </c>
    </row>
    <row r="2507" spans="8:10">
      <c r="H2507" t="e">
        <v>#N/A</v>
      </c>
      <c r="J2507" t="e">
        <v>#N/A</v>
      </c>
    </row>
    <row r="2508" spans="8:10">
      <c r="H2508" t="e">
        <v>#N/A</v>
      </c>
      <c r="J2508" t="e">
        <v>#N/A</v>
      </c>
    </row>
    <row r="2509" spans="8:10">
      <c r="H2509" t="e">
        <v>#N/A</v>
      </c>
      <c r="J2509" t="e">
        <v>#N/A</v>
      </c>
    </row>
    <row r="2510" spans="8:10">
      <c r="H2510" t="e">
        <v>#N/A</v>
      </c>
      <c r="J2510" t="e">
        <v>#N/A</v>
      </c>
    </row>
    <row r="2511" spans="8:10">
      <c r="H2511" t="e">
        <v>#N/A</v>
      </c>
      <c r="J2511" t="e">
        <v>#N/A</v>
      </c>
    </row>
    <row r="2512" spans="8:10">
      <c r="H2512" t="e">
        <v>#N/A</v>
      </c>
      <c r="J2512" t="e">
        <v>#N/A</v>
      </c>
    </row>
    <row r="2513" spans="8:10">
      <c r="H2513" t="e">
        <v>#N/A</v>
      </c>
      <c r="J2513" t="e">
        <v>#N/A</v>
      </c>
    </row>
    <row r="2514" spans="8:10">
      <c r="H2514" t="e">
        <v>#N/A</v>
      </c>
      <c r="J2514" t="e">
        <v>#N/A</v>
      </c>
    </row>
    <row r="2515" spans="8:10">
      <c r="H2515" t="e">
        <v>#N/A</v>
      </c>
      <c r="J2515" t="e">
        <v>#N/A</v>
      </c>
    </row>
    <row r="2516" spans="8:10">
      <c r="H2516" t="e">
        <v>#N/A</v>
      </c>
      <c r="J2516" t="e">
        <v>#N/A</v>
      </c>
    </row>
    <row r="2517" spans="8:10">
      <c r="H2517" t="e">
        <v>#N/A</v>
      </c>
      <c r="J2517" t="e">
        <v>#N/A</v>
      </c>
    </row>
    <row r="2518" spans="8:10">
      <c r="H2518" t="e">
        <v>#N/A</v>
      </c>
      <c r="J2518" t="e">
        <v>#N/A</v>
      </c>
    </row>
    <row r="2519" spans="8:10">
      <c r="H2519" t="e">
        <v>#N/A</v>
      </c>
      <c r="J2519" t="e">
        <v>#N/A</v>
      </c>
    </row>
    <row r="2520" spans="8:10">
      <c r="H2520" t="e">
        <v>#N/A</v>
      </c>
      <c r="J2520" t="e">
        <v>#N/A</v>
      </c>
    </row>
    <row r="2521" spans="8:10">
      <c r="H2521" t="e">
        <v>#N/A</v>
      </c>
      <c r="J2521" t="e">
        <v>#N/A</v>
      </c>
    </row>
    <row r="2522" spans="8:10">
      <c r="H2522" t="e">
        <v>#N/A</v>
      </c>
      <c r="J2522" t="e">
        <v>#N/A</v>
      </c>
    </row>
    <row r="2523" spans="8:10">
      <c r="H2523" t="e">
        <v>#N/A</v>
      </c>
      <c r="J2523" t="e">
        <v>#N/A</v>
      </c>
    </row>
    <row r="2524" spans="8:10">
      <c r="H2524" t="e">
        <v>#N/A</v>
      </c>
      <c r="J2524" t="e">
        <v>#N/A</v>
      </c>
    </row>
    <row r="2525" spans="8:10">
      <c r="H2525" t="e">
        <v>#N/A</v>
      </c>
      <c r="J2525" t="e">
        <v>#N/A</v>
      </c>
    </row>
    <row r="2526" spans="8:10">
      <c r="H2526" t="e">
        <v>#N/A</v>
      </c>
      <c r="J2526" t="e">
        <v>#N/A</v>
      </c>
    </row>
    <row r="2527" spans="8:10">
      <c r="H2527" t="e">
        <v>#N/A</v>
      </c>
      <c r="J2527" t="e">
        <v>#N/A</v>
      </c>
    </row>
    <row r="2528" spans="8:10">
      <c r="H2528" t="e">
        <v>#N/A</v>
      </c>
      <c r="J2528" t="e">
        <v>#N/A</v>
      </c>
    </row>
    <row r="2529" spans="8:10">
      <c r="H2529" t="e">
        <v>#N/A</v>
      </c>
      <c r="J2529" t="e">
        <v>#N/A</v>
      </c>
    </row>
    <row r="2530" spans="8:10">
      <c r="H2530" t="e">
        <v>#N/A</v>
      </c>
      <c r="J2530" t="e">
        <v>#N/A</v>
      </c>
    </row>
    <row r="2531" spans="8:10">
      <c r="H2531" t="e">
        <v>#N/A</v>
      </c>
      <c r="J2531" t="e">
        <v>#N/A</v>
      </c>
    </row>
    <row r="2532" spans="8:10">
      <c r="H2532" t="e">
        <v>#N/A</v>
      </c>
      <c r="J2532" t="e">
        <v>#N/A</v>
      </c>
    </row>
    <row r="2533" spans="8:10">
      <c r="H2533" t="e">
        <v>#N/A</v>
      </c>
      <c r="J2533" t="e">
        <v>#N/A</v>
      </c>
    </row>
    <row r="2534" spans="8:10">
      <c r="H2534" t="e">
        <v>#N/A</v>
      </c>
      <c r="J2534" t="e">
        <v>#N/A</v>
      </c>
    </row>
    <row r="2535" spans="8:10">
      <c r="H2535" t="e">
        <v>#N/A</v>
      </c>
      <c r="J2535" t="e">
        <v>#N/A</v>
      </c>
    </row>
    <row r="2536" spans="8:10">
      <c r="H2536" t="e">
        <v>#N/A</v>
      </c>
      <c r="J2536" t="e">
        <v>#N/A</v>
      </c>
    </row>
    <row r="2537" spans="8:10">
      <c r="H2537" t="e">
        <v>#N/A</v>
      </c>
      <c r="J2537" t="e">
        <v>#N/A</v>
      </c>
    </row>
    <row r="2538" spans="8:10">
      <c r="H2538" t="e">
        <v>#N/A</v>
      </c>
      <c r="J2538" t="e">
        <v>#N/A</v>
      </c>
    </row>
    <row r="2539" spans="8:10">
      <c r="H2539" t="e">
        <v>#N/A</v>
      </c>
      <c r="J2539" t="e">
        <v>#N/A</v>
      </c>
    </row>
    <row r="2540" spans="8:10">
      <c r="H2540" t="e">
        <v>#N/A</v>
      </c>
      <c r="J2540" t="e">
        <v>#N/A</v>
      </c>
    </row>
    <row r="2541" spans="8:10">
      <c r="H2541" t="e">
        <v>#N/A</v>
      </c>
      <c r="J2541" t="e">
        <v>#N/A</v>
      </c>
    </row>
    <row r="2542" spans="8:10">
      <c r="H2542" t="e">
        <v>#N/A</v>
      </c>
      <c r="J2542" t="e">
        <v>#N/A</v>
      </c>
    </row>
    <row r="2543" spans="8:10">
      <c r="H2543" t="e">
        <v>#N/A</v>
      </c>
      <c r="J2543" t="e">
        <v>#N/A</v>
      </c>
    </row>
    <row r="2544" spans="8:10">
      <c r="H2544" t="e">
        <v>#N/A</v>
      </c>
      <c r="J2544" t="e">
        <v>#N/A</v>
      </c>
    </row>
    <row r="2545" spans="8:10">
      <c r="H2545" t="e">
        <v>#N/A</v>
      </c>
      <c r="J2545" t="e">
        <v>#N/A</v>
      </c>
    </row>
    <row r="2546" spans="8:10">
      <c r="H2546" t="e">
        <v>#N/A</v>
      </c>
      <c r="J2546" t="e">
        <v>#N/A</v>
      </c>
    </row>
    <row r="2547" spans="8:10">
      <c r="H2547" t="e">
        <v>#N/A</v>
      </c>
      <c r="J2547" t="e">
        <v>#N/A</v>
      </c>
    </row>
    <row r="2548" spans="8:10">
      <c r="H2548" t="e">
        <v>#N/A</v>
      </c>
      <c r="J2548" t="e">
        <v>#N/A</v>
      </c>
    </row>
    <row r="2549" spans="8:10">
      <c r="H2549" t="e">
        <v>#N/A</v>
      </c>
      <c r="J2549" t="e">
        <v>#N/A</v>
      </c>
    </row>
    <row r="2550" spans="8:10">
      <c r="H2550" t="e">
        <v>#N/A</v>
      </c>
      <c r="J2550" t="e">
        <v>#N/A</v>
      </c>
    </row>
    <row r="2551" spans="8:10">
      <c r="H2551" t="e">
        <v>#N/A</v>
      </c>
      <c r="J2551" t="e">
        <v>#N/A</v>
      </c>
    </row>
    <row r="2552" spans="8:10">
      <c r="H2552" t="e">
        <v>#N/A</v>
      </c>
      <c r="J2552" t="e">
        <v>#N/A</v>
      </c>
    </row>
    <row r="2553" spans="8:10">
      <c r="H2553" t="e">
        <v>#N/A</v>
      </c>
      <c r="J2553" t="e">
        <v>#N/A</v>
      </c>
    </row>
    <row r="2554" spans="8:10">
      <c r="H2554" t="e">
        <v>#N/A</v>
      </c>
      <c r="J2554" t="e">
        <v>#N/A</v>
      </c>
    </row>
    <row r="2555" spans="8:10">
      <c r="H2555" t="e">
        <v>#N/A</v>
      </c>
      <c r="J2555" t="e">
        <v>#N/A</v>
      </c>
    </row>
    <row r="2556" spans="8:10">
      <c r="H2556" t="e">
        <v>#N/A</v>
      </c>
      <c r="J2556" t="e">
        <v>#N/A</v>
      </c>
    </row>
    <row r="2557" spans="8:10">
      <c r="H2557" t="e">
        <v>#N/A</v>
      </c>
      <c r="J2557" t="e">
        <v>#N/A</v>
      </c>
    </row>
    <row r="2558" spans="8:10">
      <c r="H2558" t="e">
        <v>#N/A</v>
      </c>
      <c r="J2558" t="e">
        <v>#N/A</v>
      </c>
    </row>
    <row r="2559" spans="8:10">
      <c r="H2559" t="e">
        <v>#N/A</v>
      </c>
      <c r="J2559" t="e">
        <v>#N/A</v>
      </c>
    </row>
    <row r="2560" spans="8:10">
      <c r="H2560" t="e">
        <v>#N/A</v>
      </c>
      <c r="J2560" t="e">
        <v>#N/A</v>
      </c>
    </row>
    <row r="2561" spans="8:10">
      <c r="H2561" t="e">
        <v>#N/A</v>
      </c>
      <c r="J2561" t="e">
        <v>#N/A</v>
      </c>
    </row>
    <row r="2562" spans="8:10">
      <c r="H2562" t="e">
        <v>#N/A</v>
      </c>
      <c r="J2562" t="e">
        <v>#N/A</v>
      </c>
    </row>
    <row r="2563" spans="8:10">
      <c r="H2563" t="e">
        <v>#N/A</v>
      </c>
      <c r="J2563" t="e">
        <v>#N/A</v>
      </c>
    </row>
    <row r="2564" spans="8:10">
      <c r="H2564" t="e">
        <v>#N/A</v>
      </c>
      <c r="J2564" t="e">
        <v>#N/A</v>
      </c>
    </row>
    <row r="2565" spans="8:10">
      <c r="H2565" t="e">
        <v>#N/A</v>
      </c>
      <c r="J2565" t="e">
        <v>#N/A</v>
      </c>
    </row>
    <row r="2566" spans="8:10">
      <c r="H2566" t="e">
        <v>#N/A</v>
      </c>
      <c r="J2566" t="e">
        <v>#N/A</v>
      </c>
    </row>
    <row r="2567" spans="8:10">
      <c r="H2567" t="e">
        <v>#N/A</v>
      </c>
      <c r="J2567" t="e">
        <v>#N/A</v>
      </c>
    </row>
    <row r="2568" spans="8:10">
      <c r="H2568" t="e">
        <v>#N/A</v>
      </c>
      <c r="J2568" t="e">
        <v>#N/A</v>
      </c>
    </row>
    <row r="2569" spans="8:10">
      <c r="H2569" t="e">
        <v>#N/A</v>
      </c>
      <c r="J2569" t="e">
        <v>#N/A</v>
      </c>
    </row>
    <row r="2570" spans="8:10">
      <c r="H2570" t="e">
        <v>#N/A</v>
      </c>
      <c r="J2570" t="e">
        <v>#N/A</v>
      </c>
    </row>
    <row r="2571" spans="8:10">
      <c r="H2571" t="e">
        <v>#N/A</v>
      </c>
      <c r="J2571" t="e">
        <v>#N/A</v>
      </c>
    </row>
    <row r="2572" spans="8:10">
      <c r="H2572" t="e">
        <v>#N/A</v>
      </c>
      <c r="J2572" t="e">
        <v>#N/A</v>
      </c>
    </row>
    <row r="2573" spans="8:10">
      <c r="H2573" t="e">
        <v>#N/A</v>
      </c>
      <c r="J2573" t="e">
        <v>#N/A</v>
      </c>
    </row>
    <row r="2574" spans="8:10">
      <c r="H2574" t="e">
        <v>#N/A</v>
      </c>
      <c r="J2574" t="e">
        <v>#N/A</v>
      </c>
    </row>
    <row r="2575" spans="8:10">
      <c r="H2575" t="e">
        <v>#N/A</v>
      </c>
      <c r="J2575" t="e">
        <v>#N/A</v>
      </c>
    </row>
    <row r="2576" spans="8:10">
      <c r="H2576" t="e">
        <v>#N/A</v>
      </c>
      <c r="J2576" t="e">
        <v>#N/A</v>
      </c>
    </row>
    <row r="2577" spans="8:10">
      <c r="H2577" t="e">
        <v>#N/A</v>
      </c>
      <c r="J2577" t="e">
        <v>#N/A</v>
      </c>
    </row>
    <row r="2578" spans="8:10">
      <c r="H2578" t="e">
        <v>#N/A</v>
      </c>
      <c r="J2578" t="e">
        <v>#N/A</v>
      </c>
    </row>
    <row r="2579" spans="8:10">
      <c r="H2579" t="e">
        <v>#N/A</v>
      </c>
      <c r="J2579" t="e">
        <v>#N/A</v>
      </c>
    </row>
    <row r="2580" spans="8:10">
      <c r="H2580" t="e">
        <v>#N/A</v>
      </c>
      <c r="J2580" t="e">
        <v>#N/A</v>
      </c>
    </row>
    <row r="2581" spans="8:10">
      <c r="H2581" t="e">
        <v>#N/A</v>
      </c>
      <c r="J2581" t="e">
        <v>#N/A</v>
      </c>
    </row>
    <row r="2582" spans="8:10">
      <c r="H2582" t="e">
        <v>#N/A</v>
      </c>
      <c r="J2582" t="e">
        <v>#N/A</v>
      </c>
    </row>
    <row r="2583" spans="8:10">
      <c r="H2583" t="e">
        <v>#N/A</v>
      </c>
      <c r="J2583" t="e">
        <v>#N/A</v>
      </c>
    </row>
    <row r="2584" spans="8:10">
      <c r="H2584" t="e">
        <v>#N/A</v>
      </c>
      <c r="J2584" t="e">
        <v>#N/A</v>
      </c>
    </row>
    <row r="2585" spans="8:10">
      <c r="H2585" t="e">
        <v>#N/A</v>
      </c>
      <c r="J2585" t="e">
        <v>#N/A</v>
      </c>
    </row>
    <row r="2586" spans="8:10">
      <c r="H2586" t="e">
        <v>#N/A</v>
      </c>
      <c r="J2586" t="e">
        <v>#N/A</v>
      </c>
    </row>
    <row r="2587" spans="8:10">
      <c r="H2587" t="e">
        <v>#N/A</v>
      </c>
      <c r="J2587" t="e">
        <v>#N/A</v>
      </c>
    </row>
    <row r="2588" spans="8:10">
      <c r="H2588" t="e">
        <v>#N/A</v>
      </c>
      <c r="J2588" t="e">
        <v>#N/A</v>
      </c>
    </row>
    <row r="2589" spans="8:10">
      <c r="H2589" t="e">
        <v>#N/A</v>
      </c>
      <c r="J2589" t="e">
        <v>#N/A</v>
      </c>
    </row>
    <row r="2590" spans="8:10">
      <c r="H2590" t="e">
        <v>#N/A</v>
      </c>
      <c r="J2590" t="e">
        <v>#N/A</v>
      </c>
    </row>
    <row r="2591" spans="8:10">
      <c r="H2591" t="e">
        <v>#N/A</v>
      </c>
      <c r="J2591" t="e">
        <v>#N/A</v>
      </c>
    </row>
    <row r="2592" spans="8:10">
      <c r="H2592" t="e">
        <v>#N/A</v>
      </c>
      <c r="J2592" t="e">
        <v>#N/A</v>
      </c>
    </row>
    <row r="2593" spans="8:10">
      <c r="H2593" t="e">
        <v>#N/A</v>
      </c>
      <c r="J2593" t="e">
        <v>#N/A</v>
      </c>
    </row>
    <row r="2594" spans="8:10">
      <c r="H2594" t="e">
        <v>#N/A</v>
      </c>
      <c r="J2594" t="e">
        <v>#N/A</v>
      </c>
    </row>
    <row r="2595" spans="8:10">
      <c r="H2595" t="e">
        <v>#N/A</v>
      </c>
      <c r="J2595" t="e">
        <v>#N/A</v>
      </c>
    </row>
    <row r="2596" spans="8:10">
      <c r="H2596" t="e">
        <v>#N/A</v>
      </c>
      <c r="J2596" t="e">
        <v>#N/A</v>
      </c>
    </row>
    <row r="2597" spans="8:10">
      <c r="H2597" t="e">
        <v>#N/A</v>
      </c>
      <c r="J2597" t="e">
        <v>#N/A</v>
      </c>
    </row>
    <row r="2598" spans="8:10">
      <c r="H2598" t="e">
        <v>#N/A</v>
      </c>
      <c r="J2598" t="e">
        <v>#N/A</v>
      </c>
    </row>
    <row r="2599" spans="8:10">
      <c r="H2599" t="e">
        <v>#N/A</v>
      </c>
      <c r="J2599" t="e">
        <v>#N/A</v>
      </c>
    </row>
    <row r="2600" spans="8:10">
      <c r="H2600" t="e">
        <v>#N/A</v>
      </c>
      <c r="J2600" t="e">
        <v>#N/A</v>
      </c>
    </row>
    <row r="2601" spans="8:10">
      <c r="H2601" t="e">
        <v>#N/A</v>
      </c>
      <c r="J2601" t="e">
        <v>#N/A</v>
      </c>
    </row>
    <row r="2602" spans="8:10">
      <c r="H2602" t="e">
        <v>#N/A</v>
      </c>
      <c r="J2602" t="e">
        <v>#N/A</v>
      </c>
    </row>
    <row r="2603" spans="8:10">
      <c r="H2603" t="e">
        <v>#N/A</v>
      </c>
      <c r="J2603" t="e">
        <v>#N/A</v>
      </c>
    </row>
    <row r="2604" spans="8:10">
      <c r="H2604" t="e">
        <v>#N/A</v>
      </c>
      <c r="J2604" t="e">
        <v>#N/A</v>
      </c>
    </row>
    <row r="2605" spans="8:10">
      <c r="H2605" t="e">
        <v>#N/A</v>
      </c>
      <c r="J2605" t="e">
        <v>#N/A</v>
      </c>
    </row>
    <row r="2606" spans="8:10">
      <c r="H2606" t="e">
        <v>#N/A</v>
      </c>
      <c r="J2606" t="e">
        <v>#N/A</v>
      </c>
    </row>
    <row r="2607" spans="8:10">
      <c r="H2607" t="e">
        <v>#N/A</v>
      </c>
      <c r="J2607" t="e">
        <v>#N/A</v>
      </c>
    </row>
    <row r="2608" spans="8:10">
      <c r="H2608" t="e">
        <v>#N/A</v>
      </c>
      <c r="J2608" t="e">
        <v>#N/A</v>
      </c>
    </row>
    <row r="2609" spans="8:10">
      <c r="H2609" t="e">
        <v>#N/A</v>
      </c>
      <c r="J2609" t="e">
        <v>#N/A</v>
      </c>
    </row>
    <row r="2610" spans="8:10">
      <c r="H2610" t="e">
        <v>#N/A</v>
      </c>
      <c r="J2610" t="e">
        <v>#N/A</v>
      </c>
    </row>
    <row r="2611" spans="8:10">
      <c r="H2611" t="e">
        <v>#N/A</v>
      </c>
      <c r="J2611" t="e">
        <v>#N/A</v>
      </c>
    </row>
    <row r="2612" spans="8:10">
      <c r="H2612" t="e">
        <v>#N/A</v>
      </c>
      <c r="J2612" t="e">
        <v>#N/A</v>
      </c>
    </row>
    <row r="2613" spans="8:10">
      <c r="H2613" t="e">
        <v>#N/A</v>
      </c>
      <c r="J2613" t="e">
        <v>#N/A</v>
      </c>
    </row>
    <row r="2614" spans="8:10">
      <c r="H2614" t="e">
        <v>#N/A</v>
      </c>
      <c r="J2614" t="e">
        <v>#N/A</v>
      </c>
    </row>
    <row r="2615" spans="8:10">
      <c r="H2615" t="e">
        <v>#N/A</v>
      </c>
      <c r="J2615" t="e">
        <v>#N/A</v>
      </c>
    </row>
    <row r="2616" spans="8:10">
      <c r="H2616" t="e">
        <v>#N/A</v>
      </c>
      <c r="J2616" t="e">
        <v>#N/A</v>
      </c>
    </row>
    <row r="2617" spans="8:10">
      <c r="H2617" t="e">
        <v>#N/A</v>
      </c>
      <c r="J2617" t="e">
        <v>#N/A</v>
      </c>
    </row>
    <row r="2618" spans="8:10">
      <c r="H2618" t="e">
        <v>#N/A</v>
      </c>
      <c r="J2618" t="e">
        <v>#N/A</v>
      </c>
    </row>
    <row r="2619" spans="8:10">
      <c r="H2619" t="e">
        <v>#N/A</v>
      </c>
      <c r="J2619" t="e">
        <v>#N/A</v>
      </c>
    </row>
    <row r="2620" spans="8:10">
      <c r="H2620" t="e">
        <v>#N/A</v>
      </c>
      <c r="J2620" t="e">
        <v>#N/A</v>
      </c>
    </row>
    <row r="2621" spans="8:10">
      <c r="H2621" t="e">
        <v>#N/A</v>
      </c>
      <c r="J2621" t="e">
        <v>#N/A</v>
      </c>
    </row>
    <row r="2622" spans="8:10">
      <c r="H2622" t="e">
        <v>#N/A</v>
      </c>
      <c r="J2622" t="e">
        <v>#N/A</v>
      </c>
    </row>
    <row r="2623" spans="8:10">
      <c r="H2623" t="e">
        <v>#N/A</v>
      </c>
      <c r="J2623" t="e">
        <v>#N/A</v>
      </c>
    </row>
    <row r="2624" spans="8:10">
      <c r="H2624" t="e">
        <v>#N/A</v>
      </c>
      <c r="J2624" t="e">
        <v>#N/A</v>
      </c>
    </row>
    <row r="2625" spans="8:10">
      <c r="H2625" t="e">
        <v>#N/A</v>
      </c>
      <c r="J2625" t="e">
        <v>#N/A</v>
      </c>
    </row>
    <row r="2626" spans="8:10">
      <c r="H2626" t="e">
        <v>#N/A</v>
      </c>
      <c r="J2626" t="e">
        <v>#N/A</v>
      </c>
    </row>
    <row r="2627" spans="8:10">
      <c r="H2627" t="e">
        <v>#N/A</v>
      </c>
      <c r="J2627" t="e">
        <v>#N/A</v>
      </c>
    </row>
    <row r="2628" spans="8:10">
      <c r="H2628" t="e">
        <v>#N/A</v>
      </c>
      <c r="J2628" t="e">
        <v>#N/A</v>
      </c>
    </row>
    <row r="2629" spans="8:10">
      <c r="H2629" t="e">
        <v>#N/A</v>
      </c>
      <c r="J2629" t="e">
        <v>#N/A</v>
      </c>
    </row>
    <row r="2630" spans="8:10">
      <c r="H2630" t="e">
        <v>#N/A</v>
      </c>
      <c r="J2630" t="e">
        <v>#N/A</v>
      </c>
    </row>
    <row r="2631" spans="8:10">
      <c r="H2631" t="e">
        <v>#N/A</v>
      </c>
      <c r="J2631" t="e">
        <v>#N/A</v>
      </c>
    </row>
    <row r="2632" spans="8:10">
      <c r="H2632" t="e">
        <v>#N/A</v>
      </c>
      <c r="J2632" t="e">
        <v>#N/A</v>
      </c>
    </row>
    <row r="2633" spans="8:10">
      <c r="H2633" t="e">
        <v>#N/A</v>
      </c>
      <c r="J2633" t="e">
        <v>#N/A</v>
      </c>
    </row>
    <row r="2634" spans="8:10">
      <c r="H2634" t="e">
        <v>#N/A</v>
      </c>
      <c r="J2634" t="e">
        <v>#N/A</v>
      </c>
    </row>
    <row r="2635" spans="8:10">
      <c r="H2635" t="e">
        <v>#N/A</v>
      </c>
      <c r="J2635" t="e">
        <v>#N/A</v>
      </c>
    </row>
    <row r="2636" spans="8:10">
      <c r="H2636" t="e">
        <v>#N/A</v>
      </c>
      <c r="J2636" t="e">
        <v>#N/A</v>
      </c>
    </row>
    <row r="2637" spans="8:10">
      <c r="H2637" t="e">
        <v>#N/A</v>
      </c>
      <c r="J2637" t="e">
        <v>#N/A</v>
      </c>
    </row>
    <row r="2638" spans="8:10">
      <c r="H2638" t="e">
        <v>#N/A</v>
      </c>
      <c r="J2638" t="e">
        <v>#N/A</v>
      </c>
    </row>
    <row r="2639" spans="8:10">
      <c r="H2639" t="e">
        <v>#N/A</v>
      </c>
      <c r="J2639" t="e">
        <v>#N/A</v>
      </c>
    </row>
    <row r="2640" spans="8:10">
      <c r="H2640" t="e">
        <v>#N/A</v>
      </c>
      <c r="J2640" t="e">
        <v>#N/A</v>
      </c>
    </row>
    <row r="2641" spans="8:10">
      <c r="H2641" t="e">
        <v>#N/A</v>
      </c>
      <c r="J2641" t="e">
        <v>#N/A</v>
      </c>
    </row>
    <row r="2642" spans="8:10">
      <c r="H2642" t="e">
        <v>#N/A</v>
      </c>
      <c r="J2642" t="e">
        <v>#N/A</v>
      </c>
    </row>
    <row r="2643" spans="8:10">
      <c r="H2643" t="e">
        <v>#N/A</v>
      </c>
      <c r="J2643" t="e">
        <v>#N/A</v>
      </c>
    </row>
    <row r="2644" spans="8:10">
      <c r="H2644" t="e">
        <v>#N/A</v>
      </c>
      <c r="J2644" t="e">
        <v>#N/A</v>
      </c>
    </row>
    <row r="2645" spans="8:10">
      <c r="H2645" t="e">
        <v>#N/A</v>
      </c>
      <c r="J2645" t="e">
        <v>#N/A</v>
      </c>
    </row>
    <row r="2646" spans="8:10">
      <c r="H2646" t="e">
        <v>#N/A</v>
      </c>
      <c r="J2646" t="e">
        <v>#N/A</v>
      </c>
    </row>
    <row r="2647" spans="8:10">
      <c r="H2647" t="e">
        <v>#N/A</v>
      </c>
      <c r="J2647" t="e">
        <v>#N/A</v>
      </c>
    </row>
    <row r="2648" spans="8:10">
      <c r="H2648" t="e">
        <v>#N/A</v>
      </c>
      <c r="J2648" t="e">
        <v>#N/A</v>
      </c>
    </row>
    <row r="2649" spans="8:10">
      <c r="H2649" t="e">
        <v>#N/A</v>
      </c>
      <c r="J2649" t="e">
        <v>#N/A</v>
      </c>
    </row>
    <row r="2650" spans="8:10">
      <c r="H2650" t="e">
        <v>#N/A</v>
      </c>
      <c r="J2650" t="e">
        <v>#N/A</v>
      </c>
    </row>
    <row r="2651" spans="8:10">
      <c r="H2651" t="e">
        <v>#N/A</v>
      </c>
      <c r="J2651" t="e">
        <v>#N/A</v>
      </c>
    </row>
    <row r="2652" spans="8:10">
      <c r="H2652" t="e">
        <v>#N/A</v>
      </c>
      <c r="J2652" t="e">
        <v>#N/A</v>
      </c>
    </row>
    <row r="2653" spans="8:10">
      <c r="H2653" t="e">
        <v>#N/A</v>
      </c>
      <c r="J2653" t="e">
        <v>#N/A</v>
      </c>
    </row>
    <row r="2654" spans="8:10">
      <c r="H2654" t="e">
        <v>#N/A</v>
      </c>
      <c r="J2654" t="e">
        <v>#N/A</v>
      </c>
    </row>
    <row r="2655" spans="8:10">
      <c r="H2655" t="e">
        <v>#N/A</v>
      </c>
      <c r="J2655" t="e">
        <v>#N/A</v>
      </c>
    </row>
    <row r="2656" spans="8:10">
      <c r="H2656" t="e">
        <v>#N/A</v>
      </c>
      <c r="J2656" t="e">
        <v>#N/A</v>
      </c>
    </row>
    <row r="2657" spans="8:10">
      <c r="H2657" t="e">
        <v>#N/A</v>
      </c>
      <c r="J2657" t="e">
        <v>#N/A</v>
      </c>
    </row>
    <row r="2658" spans="8:10">
      <c r="H2658" t="e">
        <v>#N/A</v>
      </c>
      <c r="J2658" t="e">
        <v>#N/A</v>
      </c>
    </row>
    <row r="2659" spans="8:10">
      <c r="H2659" t="e">
        <v>#N/A</v>
      </c>
      <c r="J2659" t="e">
        <v>#N/A</v>
      </c>
    </row>
    <row r="2660" spans="8:10">
      <c r="H2660" t="e">
        <v>#N/A</v>
      </c>
      <c r="J2660" t="e">
        <v>#N/A</v>
      </c>
    </row>
    <row r="2661" spans="8:10">
      <c r="H2661" t="e">
        <v>#N/A</v>
      </c>
      <c r="J2661" t="e">
        <v>#N/A</v>
      </c>
    </row>
    <row r="2662" spans="8:10">
      <c r="H2662" t="e">
        <v>#N/A</v>
      </c>
      <c r="J2662" t="e">
        <v>#N/A</v>
      </c>
    </row>
    <row r="2663" spans="8:10">
      <c r="H2663" t="e">
        <v>#N/A</v>
      </c>
      <c r="J2663" t="e">
        <v>#N/A</v>
      </c>
    </row>
    <row r="2664" spans="8:10">
      <c r="H2664" t="e">
        <v>#N/A</v>
      </c>
      <c r="J2664" t="e">
        <v>#N/A</v>
      </c>
    </row>
    <row r="2665" spans="8:10">
      <c r="H2665" t="e">
        <v>#N/A</v>
      </c>
      <c r="J2665" t="e">
        <v>#N/A</v>
      </c>
    </row>
    <row r="2666" spans="8:10">
      <c r="H2666" t="e">
        <v>#N/A</v>
      </c>
      <c r="J2666" t="e">
        <v>#N/A</v>
      </c>
    </row>
    <row r="2667" spans="8:10">
      <c r="H2667" t="e">
        <v>#N/A</v>
      </c>
      <c r="J2667" t="e">
        <v>#N/A</v>
      </c>
    </row>
    <row r="2668" spans="8:10">
      <c r="H2668" t="e">
        <v>#N/A</v>
      </c>
      <c r="J2668" t="e">
        <v>#N/A</v>
      </c>
    </row>
    <row r="2669" spans="8:10">
      <c r="H2669" t="e">
        <v>#N/A</v>
      </c>
      <c r="J2669" t="e">
        <v>#N/A</v>
      </c>
    </row>
    <row r="2670" spans="8:10">
      <c r="H2670" t="e">
        <v>#N/A</v>
      </c>
      <c r="J2670" t="e">
        <v>#N/A</v>
      </c>
    </row>
    <row r="2671" spans="8:10">
      <c r="H2671" t="e">
        <v>#N/A</v>
      </c>
      <c r="J2671" t="e">
        <v>#N/A</v>
      </c>
    </row>
    <row r="2672" spans="8:10">
      <c r="H2672" t="e">
        <v>#N/A</v>
      </c>
      <c r="J2672" t="e">
        <v>#N/A</v>
      </c>
    </row>
    <row r="2673" spans="8:10">
      <c r="H2673" t="e">
        <v>#N/A</v>
      </c>
      <c r="J2673" t="e">
        <v>#N/A</v>
      </c>
    </row>
    <row r="2674" spans="8:10">
      <c r="H2674" t="e">
        <v>#N/A</v>
      </c>
      <c r="J2674" t="e">
        <v>#N/A</v>
      </c>
    </row>
    <row r="2675" spans="8:10">
      <c r="H2675" t="e">
        <v>#N/A</v>
      </c>
      <c r="J2675" t="e">
        <v>#N/A</v>
      </c>
    </row>
    <row r="2676" spans="8:10">
      <c r="H2676" t="e">
        <v>#N/A</v>
      </c>
      <c r="J2676" t="e">
        <v>#N/A</v>
      </c>
    </row>
    <row r="2677" spans="8:10">
      <c r="H2677" t="e">
        <v>#N/A</v>
      </c>
      <c r="J2677" t="e">
        <v>#N/A</v>
      </c>
    </row>
    <row r="2678" spans="8:10">
      <c r="H2678" t="e">
        <v>#N/A</v>
      </c>
      <c r="J2678" t="e">
        <v>#N/A</v>
      </c>
    </row>
    <row r="2679" spans="8:10">
      <c r="H2679" t="e">
        <v>#N/A</v>
      </c>
      <c r="J2679" t="e">
        <v>#N/A</v>
      </c>
    </row>
    <row r="2680" spans="8:10">
      <c r="H2680" t="e">
        <v>#N/A</v>
      </c>
      <c r="J2680" t="e">
        <v>#N/A</v>
      </c>
    </row>
    <row r="2681" spans="8:10">
      <c r="H2681" t="e">
        <v>#N/A</v>
      </c>
      <c r="J2681" t="e">
        <v>#N/A</v>
      </c>
    </row>
    <row r="2682" spans="8:10">
      <c r="H2682" t="e">
        <v>#N/A</v>
      </c>
      <c r="J2682" t="e">
        <v>#N/A</v>
      </c>
    </row>
    <row r="2683" spans="8:10">
      <c r="H2683" t="e">
        <v>#N/A</v>
      </c>
      <c r="J2683" t="e">
        <v>#N/A</v>
      </c>
    </row>
    <row r="2684" spans="8:10">
      <c r="H2684" t="e">
        <v>#N/A</v>
      </c>
      <c r="J2684" t="e">
        <v>#N/A</v>
      </c>
    </row>
    <row r="2685" spans="8:10">
      <c r="H2685" t="e">
        <v>#N/A</v>
      </c>
      <c r="J2685" t="e">
        <v>#N/A</v>
      </c>
    </row>
    <row r="2686" spans="8:10">
      <c r="H2686" t="e">
        <v>#N/A</v>
      </c>
      <c r="J2686" t="e">
        <v>#N/A</v>
      </c>
    </row>
    <row r="2687" spans="8:10">
      <c r="H2687" t="e">
        <v>#N/A</v>
      </c>
      <c r="J2687" t="e">
        <v>#N/A</v>
      </c>
    </row>
    <row r="2688" spans="8:10">
      <c r="H2688" t="e">
        <v>#N/A</v>
      </c>
      <c r="J2688" t="e">
        <v>#N/A</v>
      </c>
    </row>
    <row r="2689" spans="8:10">
      <c r="H2689" t="e">
        <v>#N/A</v>
      </c>
      <c r="J2689" t="e">
        <v>#N/A</v>
      </c>
    </row>
    <row r="2690" spans="8:10">
      <c r="H2690" t="e">
        <v>#N/A</v>
      </c>
      <c r="J2690" t="e">
        <v>#N/A</v>
      </c>
    </row>
    <row r="2691" spans="8:10">
      <c r="H2691" t="e">
        <v>#N/A</v>
      </c>
      <c r="J2691" t="e">
        <v>#N/A</v>
      </c>
    </row>
    <row r="2692" spans="8:10">
      <c r="H2692" t="e">
        <v>#N/A</v>
      </c>
      <c r="J2692" t="e">
        <v>#N/A</v>
      </c>
    </row>
    <row r="2693" spans="8:10">
      <c r="H2693" t="e">
        <v>#N/A</v>
      </c>
      <c r="J2693" t="e">
        <v>#N/A</v>
      </c>
    </row>
    <row r="2694" spans="8:10">
      <c r="H2694" t="e">
        <v>#N/A</v>
      </c>
      <c r="J2694" t="e">
        <v>#N/A</v>
      </c>
    </row>
    <row r="2695" spans="8:10">
      <c r="H2695" t="e">
        <v>#N/A</v>
      </c>
      <c r="J2695" t="e">
        <v>#N/A</v>
      </c>
    </row>
    <row r="2696" spans="8:10">
      <c r="H2696" t="e">
        <v>#N/A</v>
      </c>
      <c r="J2696" t="e">
        <v>#N/A</v>
      </c>
    </row>
    <row r="2697" spans="8:10">
      <c r="H2697" t="e">
        <v>#N/A</v>
      </c>
      <c r="J2697" t="e">
        <v>#N/A</v>
      </c>
    </row>
    <row r="2698" spans="8:10">
      <c r="H2698" t="e">
        <v>#N/A</v>
      </c>
      <c r="J2698" t="e">
        <v>#N/A</v>
      </c>
    </row>
    <row r="2699" spans="8:10">
      <c r="H2699" t="e">
        <v>#N/A</v>
      </c>
      <c r="J2699" t="e">
        <v>#N/A</v>
      </c>
    </row>
    <row r="2700" spans="8:10">
      <c r="H2700" t="e">
        <v>#N/A</v>
      </c>
      <c r="J2700" t="e">
        <v>#N/A</v>
      </c>
    </row>
    <row r="2701" spans="8:10">
      <c r="H2701" t="e">
        <v>#N/A</v>
      </c>
      <c r="J2701" t="e">
        <v>#N/A</v>
      </c>
    </row>
    <row r="2702" spans="8:10">
      <c r="H2702" t="e">
        <v>#N/A</v>
      </c>
      <c r="J2702" t="e">
        <v>#N/A</v>
      </c>
    </row>
    <row r="2703" spans="8:10">
      <c r="H2703" t="e">
        <v>#N/A</v>
      </c>
      <c r="J2703" t="e">
        <v>#N/A</v>
      </c>
    </row>
    <row r="2704" spans="8:10">
      <c r="H2704" t="e">
        <v>#N/A</v>
      </c>
      <c r="J2704" t="e">
        <v>#N/A</v>
      </c>
    </row>
    <row r="2705" spans="8:10">
      <c r="H2705" t="e">
        <v>#N/A</v>
      </c>
      <c r="J2705" t="e">
        <v>#N/A</v>
      </c>
    </row>
    <row r="2706" spans="8:10">
      <c r="H2706" t="e">
        <v>#N/A</v>
      </c>
      <c r="J2706" t="e">
        <v>#N/A</v>
      </c>
    </row>
    <row r="2707" spans="8:10">
      <c r="H2707" t="e">
        <v>#N/A</v>
      </c>
      <c r="J2707" t="e">
        <v>#N/A</v>
      </c>
    </row>
    <row r="2708" spans="8:10">
      <c r="H2708" t="e">
        <v>#N/A</v>
      </c>
      <c r="J2708" t="e">
        <v>#N/A</v>
      </c>
    </row>
    <row r="2709" spans="8:10">
      <c r="H2709" t="e">
        <v>#N/A</v>
      </c>
      <c r="J2709" t="e">
        <v>#N/A</v>
      </c>
    </row>
    <row r="2710" spans="8:10">
      <c r="H2710" t="e">
        <v>#N/A</v>
      </c>
      <c r="J2710" t="e">
        <v>#N/A</v>
      </c>
    </row>
    <row r="2711" spans="8:10">
      <c r="H2711" t="e">
        <v>#N/A</v>
      </c>
      <c r="J2711" t="e">
        <v>#N/A</v>
      </c>
    </row>
    <row r="2712" spans="8:10">
      <c r="H2712" t="e">
        <v>#N/A</v>
      </c>
      <c r="J2712" t="e">
        <v>#N/A</v>
      </c>
    </row>
    <row r="2713" spans="8:10">
      <c r="H2713" t="e">
        <v>#N/A</v>
      </c>
      <c r="J2713" t="e">
        <v>#N/A</v>
      </c>
    </row>
    <row r="2714" spans="8:10">
      <c r="H2714" t="e">
        <v>#N/A</v>
      </c>
      <c r="J2714" t="e">
        <v>#N/A</v>
      </c>
    </row>
    <row r="2715" spans="8:10">
      <c r="H2715" t="e">
        <v>#N/A</v>
      </c>
      <c r="J2715" t="e">
        <v>#N/A</v>
      </c>
    </row>
    <row r="2716" spans="8:10">
      <c r="H2716" t="e">
        <v>#N/A</v>
      </c>
      <c r="J2716" t="e">
        <v>#N/A</v>
      </c>
    </row>
    <row r="2717" spans="8:10">
      <c r="H2717" t="e">
        <v>#N/A</v>
      </c>
      <c r="J2717" t="e">
        <v>#N/A</v>
      </c>
    </row>
    <row r="2718" spans="8:10">
      <c r="H2718" t="e">
        <v>#N/A</v>
      </c>
      <c r="J2718" t="e">
        <v>#N/A</v>
      </c>
    </row>
    <row r="2719" spans="8:10">
      <c r="H2719" t="e">
        <v>#N/A</v>
      </c>
      <c r="J2719" t="e">
        <v>#N/A</v>
      </c>
    </row>
    <row r="2720" spans="8:10">
      <c r="H2720" t="e">
        <v>#N/A</v>
      </c>
      <c r="J2720" t="e">
        <v>#N/A</v>
      </c>
    </row>
    <row r="2721" spans="8:10">
      <c r="H2721" t="e">
        <v>#N/A</v>
      </c>
      <c r="J2721" t="e">
        <v>#N/A</v>
      </c>
    </row>
    <row r="2722" spans="8:10">
      <c r="H2722" t="e">
        <v>#N/A</v>
      </c>
      <c r="J2722" t="e">
        <v>#N/A</v>
      </c>
    </row>
    <row r="2723" spans="8:10">
      <c r="H2723" t="e">
        <v>#N/A</v>
      </c>
      <c r="J2723" t="e">
        <v>#N/A</v>
      </c>
    </row>
    <row r="2724" spans="8:10">
      <c r="H2724" t="e">
        <v>#N/A</v>
      </c>
      <c r="J2724" t="e">
        <v>#N/A</v>
      </c>
    </row>
    <row r="2725" spans="8:10">
      <c r="H2725" t="e">
        <v>#N/A</v>
      </c>
      <c r="J2725" t="e">
        <v>#N/A</v>
      </c>
    </row>
    <row r="2726" spans="8:10">
      <c r="H2726" t="e">
        <v>#N/A</v>
      </c>
      <c r="J2726" t="e">
        <v>#N/A</v>
      </c>
    </row>
    <row r="2727" spans="8:10">
      <c r="H2727" t="e">
        <v>#N/A</v>
      </c>
      <c r="J2727" t="e">
        <v>#N/A</v>
      </c>
    </row>
    <row r="2728" spans="8:10">
      <c r="H2728" t="e">
        <v>#N/A</v>
      </c>
      <c r="J2728" t="e">
        <v>#N/A</v>
      </c>
    </row>
    <row r="2729" spans="8:10">
      <c r="H2729" t="e">
        <v>#N/A</v>
      </c>
      <c r="J2729" t="e">
        <v>#N/A</v>
      </c>
    </row>
    <row r="2730" spans="8:10">
      <c r="H2730" t="e">
        <v>#N/A</v>
      </c>
      <c r="J2730" t="e">
        <v>#N/A</v>
      </c>
    </row>
    <row r="2731" spans="8:10">
      <c r="H2731" t="e">
        <v>#N/A</v>
      </c>
      <c r="J2731" t="e">
        <v>#N/A</v>
      </c>
    </row>
    <row r="2732" spans="8:10">
      <c r="H2732" t="e">
        <v>#N/A</v>
      </c>
      <c r="J2732" t="e">
        <v>#N/A</v>
      </c>
    </row>
    <row r="2733" spans="8:10">
      <c r="H2733" t="e">
        <v>#N/A</v>
      </c>
      <c r="J2733" t="e">
        <v>#N/A</v>
      </c>
    </row>
    <row r="2734" spans="8:10">
      <c r="H2734" t="e">
        <v>#N/A</v>
      </c>
      <c r="J2734" t="e">
        <v>#N/A</v>
      </c>
    </row>
    <row r="2735" spans="8:10">
      <c r="H2735" t="e">
        <v>#N/A</v>
      </c>
      <c r="J2735" t="e">
        <v>#N/A</v>
      </c>
    </row>
    <row r="2736" spans="8:10">
      <c r="H2736" t="e">
        <v>#N/A</v>
      </c>
      <c r="J2736" t="e">
        <v>#N/A</v>
      </c>
    </row>
    <row r="2737" spans="8:10">
      <c r="H2737" t="e">
        <v>#N/A</v>
      </c>
      <c r="J2737" t="e">
        <v>#N/A</v>
      </c>
    </row>
    <row r="2738" spans="8:10">
      <c r="H2738" t="e">
        <v>#N/A</v>
      </c>
      <c r="J2738" t="e">
        <v>#N/A</v>
      </c>
    </row>
    <row r="2739" spans="8:10">
      <c r="H2739" t="e">
        <v>#N/A</v>
      </c>
      <c r="J2739" t="e">
        <v>#N/A</v>
      </c>
    </row>
    <row r="2740" spans="8:10">
      <c r="H2740" t="e">
        <v>#N/A</v>
      </c>
      <c r="J2740" t="e">
        <v>#N/A</v>
      </c>
    </row>
    <row r="2741" spans="8:10">
      <c r="H2741" t="e">
        <v>#N/A</v>
      </c>
      <c r="J2741" t="e">
        <v>#N/A</v>
      </c>
    </row>
    <row r="2742" spans="8:10">
      <c r="H2742" t="e">
        <v>#N/A</v>
      </c>
      <c r="J2742" t="e">
        <v>#N/A</v>
      </c>
    </row>
    <row r="2743" spans="8:10">
      <c r="H2743" t="e">
        <v>#N/A</v>
      </c>
      <c r="J2743" t="e">
        <v>#N/A</v>
      </c>
    </row>
    <row r="2744" spans="8:10">
      <c r="H2744" t="e">
        <v>#N/A</v>
      </c>
      <c r="J2744" t="e">
        <v>#N/A</v>
      </c>
    </row>
    <row r="2745" spans="8:10">
      <c r="H2745" t="e">
        <v>#N/A</v>
      </c>
      <c r="J2745" t="e">
        <v>#N/A</v>
      </c>
    </row>
    <row r="2746" spans="8:10">
      <c r="H2746" t="e">
        <v>#N/A</v>
      </c>
      <c r="J2746" t="e">
        <v>#N/A</v>
      </c>
    </row>
    <row r="2747" spans="8:10">
      <c r="H2747" t="e">
        <v>#N/A</v>
      </c>
      <c r="J2747" t="e">
        <v>#N/A</v>
      </c>
    </row>
    <row r="2748" spans="8:10">
      <c r="H2748" t="e">
        <v>#N/A</v>
      </c>
      <c r="J2748" t="e">
        <v>#N/A</v>
      </c>
    </row>
    <row r="2749" spans="8:10">
      <c r="H2749" t="e">
        <v>#N/A</v>
      </c>
      <c r="J2749" t="e">
        <v>#N/A</v>
      </c>
    </row>
    <row r="2750" spans="8:10">
      <c r="H2750" t="e">
        <v>#N/A</v>
      </c>
      <c r="J2750" t="e">
        <v>#N/A</v>
      </c>
    </row>
    <row r="2751" spans="8:10">
      <c r="H2751" t="e">
        <v>#N/A</v>
      </c>
      <c r="J2751" t="e">
        <v>#N/A</v>
      </c>
    </row>
    <row r="2752" spans="8:10">
      <c r="H2752" t="e">
        <v>#N/A</v>
      </c>
      <c r="J2752" t="e">
        <v>#N/A</v>
      </c>
    </row>
    <row r="2753" spans="8:10">
      <c r="H2753" t="e">
        <v>#N/A</v>
      </c>
      <c r="J2753" t="e">
        <v>#N/A</v>
      </c>
    </row>
    <row r="2754" spans="8:10">
      <c r="H2754" t="e">
        <v>#N/A</v>
      </c>
      <c r="J2754" t="e">
        <v>#N/A</v>
      </c>
    </row>
    <row r="2755" spans="8:10">
      <c r="H2755" t="e">
        <v>#N/A</v>
      </c>
      <c r="J2755" t="e">
        <v>#N/A</v>
      </c>
    </row>
    <row r="2756" spans="8:10">
      <c r="H2756" t="e">
        <v>#N/A</v>
      </c>
      <c r="J2756" t="e">
        <v>#N/A</v>
      </c>
    </row>
    <row r="2757" spans="8:10">
      <c r="H2757" t="e">
        <v>#N/A</v>
      </c>
      <c r="J2757" t="e">
        <v>#N/A</v>
      </c>
    </row>
    <row r="2758" spans="8:10">
      <c r="H2758" t="e">
        <v>#N/A</v>
      </c>
      <c r="J2758" t="e">
        <v>#N/A</v>
      </c>
    </row>
    <row r="2759" spans="8:10">
      <c r="H2759" t="e">
        <v>#N/A</v>
      </c>
      <c r="J2759" t="e">
        <v>#N/A</v>
      </c>
    </row>
    <row r="2760" spans="8:10">
      <c r="H2760" t="e">
        <v>#N/A</v>
      </c>
      <c r="J2760" t="e">
        <v>#N/A</v>
      </c>
    </row>
    <row r="2761" spans="8:10">
      <c r="H2761" t="e">
        <v>#N/A</v>
      </c>
      <c r="J2761" t="e">
        <v>#N/A</v>
      </c>
    </row>
    <row r="2762" spans="8:10">
      <c r="H2762" t="e">
        <v>#N/A</v>
      </c>
      <c r="J2762" t="e">
        <v>#N/A</v>
      </c>
    </row>
    <row r="2763" spans="8:10">
      <c r="H2763" t="e">
        <v>#N/A</v>
      </c>
      <c r="J2763" t="e">
        <v>#N/A</v>
      </c>
    </row>
    <row r="2764" spans="8:10">
      <c r="H2764" t="e">
        <v>#N/A</v>
      </c>
      <c r="J2764" t="e">
        <v>#N/A</v>
      </c>
    </row>
    <row r="2765" spans="8:10">
      <c r="H2765" t="e">
        <v>#N/A</v>
      </c>
      <c r="J2765" t="e">
        <v>#N/A</v>
      </c>
    </row>
    <row r="2766" spans="8:10">
      <c r="H2766" t="e">
        <v>#N/A</v>
      </c>
      <c r="J2766" t="e">
        <v>#N/A</v>
      </c>
    </row>
    <row r="2767" spans="8:10">
      <c r="H2767" t="e">
        <v>#N/A</v>
      </c>
      <c r="J2767" t="e">
        <v>#N/A</v>
      </c>
    </row>
    <row r="2768" spans="8:10">
      <c r="H2768" t="e">
        <v>#N/A</v>
      </c>
      <c r="J2768" t="e">
        <v>#N/A</v>
      </c>
    </row>
    <row r="2769" spans="8:10">
      <c r="H2769" t="e">
        <v>#N/A</v>
      </c>
      <c r="J2769" t="e">
        <v>#N/A</v>
      </c>
    </row>
    <row r="2770" spans="8:10">
      <c r="H2770" t="e">
        <v>#N/A</v>
      </c>
      <c r="J2770" t="e">
        <v>#N/A</v>
      </c>
    </row>
    <row r="2771" spans="8:10">
      <c r="H2771" t="e">
        <v>#N/A</v>
      </c>
      <c r="J2771" t="e">
        <v>#N/A</v>
      </c>
    </row>
    <row r="2772" spans="8:10">
      <c r="H2772" t="e">
        <v>#N/A</v>
      </c>
      <c r="J2772" t="e">
        <v>#N/A</v>
      </c>
    </row>
    <row r="2773" spans="8:10">
      <c r="H2773" t="e">
        <v>#N/A</v>
      </c>
      <c r="J2773" t="e">
        <v>#N/A</v>
      </c>
    </row>
    <row r="2774" spans="8:10">
      <c r="H2774" t="e">
        <v>#N/A</v>
      </c>
      <c r="J2774" t="e">
        <v>#N/A</v>
      </c>
    </row>
    <row r="2775" spans="8:10">
      <c r="H2775" t="e">
        <v>#N/A</v>
      </c>
      <c r="J2775" t="e">
        <v>#N/A</v>
      </c>
    </row>
    <row r="2776" spans="8:10">
      <c r="H2776" t="e">
        <v>#N/A</v>
      </c>
      <c r="J2776" t="e">
        <v>#N/A</v>
      </c>
    </row>
    <row r="2777" spans="8:10">
      <c r="H2777" t="e">
        <v>#N/A</v>
      </c>
      <c r="J2777" t="e">
        <v>#N/A</v>
      </c>
    </row>
    <row r="2778" spans="8:10">
      <c r="H2778" t="e">
        <v>#N/A</v>
      </c>
      <c r="J2778" t="e">
        <v>#N/A</v>
      </c>
    </row>
    <row r="2779" spans="8:10">
      <c r="H2779" t="e">
        <v>#N/A</v>
      </c>
      <c r="J2779" t="e">
        <v>#N/A</v>
      </c>
    </row>
    <row r="2780" spans="8:10">
      <c r="H2780" t="e">
        <v>#N/A</v>
      </c>
      <c r="J2780" t="e">
        <v>#N/A</v>
      </c>
    </row>
    <row r="2781" spans="8:10">
      <c r="H2781" t="e">
        <v>#N/A</v>
      </c>
      <c r="J2781" t="e">
        <v>#N/A</v>
      </c>
    </row>
    <row r="2782" spans="8:10">
      <c r="H2782" t="e">
        <v>#N/A</v>
      </c>
      <c r="J2782" t="e">
        <v>#N/A</v>
      </c>
    </row>
    <row r="2783" spans="8:10">
      <c r="H2783" t="e">
        <v>#N/A</v>
      </c>
      <c r="J2783" t="e">
        <v>#N/A</v>
      </c>
    </row>
    <row r="2784" spans="8:10">
      <c r="H2784" t="e">
        <v>#N/A</v>
      </c>
      <c r="J2784" t="e">
        <v>#N/A</v>
      </c>
    </row>
    <row r="2785" spans="8:10">
      <c r="H2785" t="e">
        <v>#N/A</v>
      </c>
      <c r="J2785" t="e">
        <v>#N/A</v>
      </c>
    </row>
    <row r="2786" spans="8:10">
      <c r="H2786" t="e">
        <v>#N/A</v>
      </c>
      <c r="J2786" t="e">
        <v>#N/A</v>
      </c>
    </row>
    <row r="2787" spans="8:10">
      <c r="H2787" t="e">
        <v>#N/A</v>
      </c>
      <c r="J2787" t="e">
        <v>#N/A</v>
      </c>
    </row>
    <row r="2788" spans="8:10">
      <c r="H2788" t="e">
        <v>#N/A</v>
      </c>
      <c r="J2788" t="e">
        <v>#N/A</v>
      </c>
    </row>
    <row r="2789" spans="8:10">
      <c r="H2789" t="e">
        <v>#N/A</v>
      </c>
      <c r="J2789" t="e">
        <v>#N/A</v>
      </c>
    </row>
    <row r="2790" spans="8:10">
      <c r="H2790" t="e">
        <v>#N/A</v>
      </c>
      <c r="J2790" t="e">
        <v>#N/A</v>
      </c>
    </row>
    <row r="2791" spans="8:10">
      <c r="H2791" t="e">
        <v>#N/A</v>
      </c>
      <c r="J2791" t="e">
        <v>#N/A</v>
      </c>
    </row>
    <row r="2792" spans="8:10">
      <c r="H2792" t="e">
        <v>#N/A</v>
      </c>
      <c r="J2792" t="e">
        <v>#N/A</v>
      </c>
    </row>
    <row r="2793" spans="8:10">
      <c r="H2793" t="e">
        <v>#N/A</v>
      </c>
      <c r="J2793" t="e">
        <v>#N/A</v>
      </c>
    </row>
    <row r="2794" spans="8:10">
      <c r="H2794" t="e">
        <v>#N/A</v>
      </c>
      <c r="J2794" t="e">
        <v>#N/A</v>
      </c>
    </row>
    <row r="2795" spans="8:10">
      <c r="H2795" t="e">
        <v>#N/A</v>
      </c>
      <c r="J2795" t="e">
        <v>#N/A</v>
      </c>
    </row>
    <row r="2796" spans="8:10">
      <c r="H2796" t="e">
        <v>#N/A</v>
      </c>
      <c r="J2796" t="e">
        <v>#N/A</v>
      </c>
    </row>
    <row r="2797" spans="8:10">
      <c r="H2797" t="e">
        <v>#N/A</v>
      </c>
      <c r="J2797" t="e">
        <v>#N/A</v>
      </c>
    </row>
    <row r="2798" spans="8:10">
      <c r="H2798" t="e">
        <v>#N/A</v>
      </c>
      <c r="J2798" t="e">
        <v>#N/A</v>
      </c>
    </row>
    <row r="2799" spans="8:10">
      <c r="H2799" t="e">
        <v>#N/A</v>
      </c>
      <c r="J2799" t="e">
        <v>#N/A</v>
      </c>
    </row>
    <row r="2800" spans="8:10">
      <c r="H2800" t="e">
        <v>#N/A</v>
      </c>
      <c r="J2800" t="e">
        <v>#N/A</v>
      </c>
    </row>
    <row r="2801" spans="8:10">
      <c r="H2801" t="e">
        <v>#N/A</v>
      </c>
      <c r="J2801" t="e">
        <v>#N/A</v>
      </c>
    </row>
    <row r="2802" spans="8:10">
      <c r="H2802" t="e">
        <v>#N/A</v>
      </c>
      <c r="J2802" t="e">
        <v>#N/A</v>
      </c>
    </row>
    <row r="2803" spans="8:10">
      <c r="H2803" t="e">
        <v>#N/A</v>
      </c>
      <c r="J2803" t="e">
        <v>#N/A</v>
      </c>
    </row>
    <row r="2804" spans="8:10">
      <c r="H2804" t="e">
        <v>#N/A</v>
      </c>
      <c r="J2804" t="e">
        <v>#N/A</v>
      </c>
    </row>
    <row r="2805" spans="8:10">
      <c r="H2805" t="e">
        <v>#N/A</v>
      </c>
      <c r="J2805" t="e">
        <v>#N/A</v>
      </c>
    </row>
    <row r="2806" spans="8:10">
      <c r="H2806" t="e">
        <v>#N/A</v>
      </c>
      <c r="J2806" t="e">
        <v>#N/A</v>
      </c>
    </row>
    <row r="2807" spans="8:10">
      <c r="H2807" t="e">
        <v>#N/A</v>
      </c>
      <c r="J2807" t="e">
        <v>#N/A</v>
      </c>
    </row>
    <row r="2808" spans="8:10">
      <c r="H2808" t="e">
        <v>#N/A</v>
      </c>
      <c r="J2808" t="e">
        <v>#N/A</v>
      </c>
    </row>
    <row r="2809" spans="8:10">
      <c r="H2809" t="e">
        <v>#N/A</v>
      </c>
      <c r="J2809" t="e">
        <v>#N/A</v>
      </c>
    </row>
    <row r="2810" spans="8:10">
      <c r="H2810" t="e">
        <v>#N/A</v>
      </c>
      <c r="J2810" t="e">
        <v>#N/A</v>
      </c>
    </row>
    <row r="2811" spans="8:10">
      <c r="H2811" t="e">
        <v>#N/A</v>
      </c>
      <c r="J2811" t="e">
        <v>#N/A</v>
      </c>
    </row>
    <row r="2812" spans="8:10">
      <c r="H2812" t="e">
        <v>#N/A</v>
      </c>
      <c r="J2812" t="e">
        <v>#N/A</v>
      </c>
    </row>
    <row r="2813" spans="8:10">
      <c r="H2813" t="e">
        <v>#N/A</v>
      </c>
      <c r="J2813" t="e">
        <v>#N/A</v>
      </c>
    </row>
    <row r="2814" spans="8:10">
      <c r="H2814" t="e">
        <v>#N/A</v>
      </c>
      <c r="J2814" t="e">
        <v>#N/A</v>
      </c>
    </row>
    <row r="2815" spans="8:10">
      <c r="H2815" t="e">
        <v>#N/A</v>
      </c>
      <c r="J2815" t="e">
        <v>#N/A</v>
      </c>
    </row>
    <row r="2816" spans="8:10">
      <c r="H2816" t="e">
        <v>#N/A</v>
      </c>
      <c r="J2816" t="e">
        <v>#N/A</v>
      </c>
    </row>
    <row r="2817" spans="8:10">
      <c r="H2817" t="e">
        <v>#N/A</v>
      </c>
      <c r="J2817" t="e">
        <v>#N/A</v>
      </c>
    </row>
    <row r="2818" spans="8:10">
      <c r="H2818" t="e">
        <v>#N/A</v>
      </c>
      <c r="J2818" t="e">
        <v>#N/A</v>
      </c>
    </row>
    <row r="2819" spans="8:10">
      <c r="H2819" t="e">
        <v>#N/A</v>
      </c>
      <c r="J2819" t="e">
        <v>#N/A</v>
      </c>
    </row>
    <row r="2820" spans="8:10">
      <c r="H2820" t="e">
        <v>#N/A</v>
      </c>
      <c r="J2820" t="e">
        <v>#N/A</v>
      </c>
    </row>
    <row r="2821" spans="8:10">
      <c r="H2821" t="e">
        <v>#N/A</v>
      </c>
      <c r="J2821" t="e">
        <v>#N/A</v>
      </c>
    </row>
    <row r="2822" spans="8:10">
      <c r="H2822" t="e">
        <v>#N/A</v>
      </c>
      <c r="J2822" t="e">
        <v>#N/A</v>
      </c>
    </row>
    <row r="2823" spans="8:10">
      <c r="H2823" t="e">
        <v>#N/A</v>
      </c>
      <c r="J2823" t="e">
        <v>#N/A</v>
      </c>
    </row>
    <row r="2824" spans="8:10">
      <c r="H2824" t="e">
        <v>#N/A</v>
      </c>
      <c r="J2824" t="e">
        <v>#N/A</v>
      </c>
    </row>
    <row r="2825" spans="8:10">
      <c r="H2825" t="e">
        <v>#N/A</v>
      </c>
      <c r="J2825" t="e">
        <v>#N/A</v>
      </c>
    </row>
    <row r="2826" spans="8:10">
      <c r="H2826" t="e">
        <v>#N/A</v>
      </c>
      <c r="J2826" t="e">
        <v>#N/A</v>
      </c>
    </row>
    <row r="2827" spans="8:10">
      <c r="H2827" t="e">
        <v>#N/A</v>
      </c>
      <c r="J2827" t="e">
        <v>#N/A</v>
      </c>
    </row>
    <row r="2828" spans="8:10">
      <c r="H2828" t="e">
        <v>#N/A</v>
      </c>
      <c r="J2828" t="e">
        <v>#N/A</v>
      </c>
    </row>
    <row r="2829" spans="8:10">
      <c r="H2829" t="e">
        <v>#N/A</v>
      </c>
      <c r="J2829" t="e">
        <v>#N/A</v>
      </c>
    </row>
    <row r="2830" spans="8:10">
      <c r="H2830" t="e">
        <v>#N/A</v>
      </c>
      <c r="J2830" t="e">
        <v>#N/A</v>
      </c>
    </row>
    <row r="2831" spans="8:10">
      <c r="H2831" t="e">
        <v>#N/A</v>
      </c>
      <c r="J2831" t="e">
        <v>#N/A</v>
      </c>
    </row>
    <row r="2832" spans="8:10">
      <c r="H2832" t="e">
        <v>#N/A</v>
      </c>
      <c r="J2832" t="e">
        <v>#N/A</v>
      </c>
    </row>
    <row r="2833" spans="8:10">
      <c r="H2833" t="e">
        <v>#N/A</v>
      </c>
      <c r="J2833" t="e">
        <v>#N/A</v>
      </c>
    </row>
    <row r="2834" spans="8:10">
      <c r="H2834" t="e">
        <v>#N/A</v>
      </c>
      <c r="J2834" t="e">
        <v>#N/A</v>
      </c>
    </row>
    <row r="2835" spans="8:10">
      <c r="H2835" t="e">
        <v>#N/A</v>
      </c>
      <c r="J2835" t="e">
        <v>#N/A</v>
      </c>
    </row>
    <row r="2836" spans="8:10">
      <c r="H2836" t="e">
        <v>#N/A</v>
      </c>
      <c r="J2836" t="e">
        <v>#N/A</v>
      </c>
    </row>
    <row r="2837" spans="8:10">
      <c r="H2837" t="e">
        <v>#N/A</v>
      </c>
      <c r="J2837" t="e">
        <v>#N/A</v>
      </c>
    </row>
    <row r="2838" spans="8:10">
      <c r="H2838" t="e">
        <v>#N/A</v>
      </c>
      <c r="J2838" t="e">
        <v>#N/A</v>
      </c>
    </row>
    <row r="2839" spans="8:10">
      <c r="H2839" t="e">
        <v>#N/A</v>
      </c>
      <c r="J2839" t="e">
        <v>#N/A</v>
      </c>
    </row>
    <row r="2840" spans="8:10">
      <c r="H2840" t="e">
        <v>#N/A</v>
      </c>
      <c r="J2840" t="e">
        <v>#N/A</v>
      </c>
    </row>
    <row r="2841" spans="8:10">
      <c r="H2841" t="e">
        <v>#N/A</v>
      </c>
      <c r="J2841" t="e">
        <v>#N/A</v>
      </c>
    </row>
    <row r="2842" spans="8:10">
      <c r="H2842" t="e">
        <v>#N/A</v>
      </c>
      <c r="J2842" t="e">
        <v>#N/A</v>
      </c>
    </row>
    <row r="2843" spans="8:10">
      <c r="H2843" t="e">
        <v>#N/A</v>
      </c>
      <c r="J2843" t="e">
        <v>#N/A</v>
      </c>
    </row>
    <row r="2844" spans="8:10">
      <c r="H2844" t="e">
        <v>#N/A</v>
      </c>
      <c r="J2844" t="e">
        <v>#N/A</v>
      </c>
    </row>
    <row r="2845" spans="8:10">
      <c r="H2845" t="e">
        <v>#N/A</v>
      </c>
      <c r="J2845" t="e">
        <v>#N/A</v>
      </c>
    </row>
    <row r="2846" spans="8:10">
      <c r="H2846" t="e">
        <v>#N/A</v>
      </c>
      <c r="J2846" t="e">
        <v>#N/A</v>
      </c>
    </row>
    <row r="2847" spans="8:10">
      <c r="H2847" t="e">
        <v>#N/A</v>
      </c>
      <c r="J2847" t="e">
        <v>#N/A</v>
      </c>
    </row>
    <row r="2848" spans="8:10">
      <c r="H2848" t="e">
        <v>#N/A</v>
      </c>
      <c r="J2848" t="e">
        <v>#N/A</v>
      </c>
    </row>
    <row r="2849" spans="8:10">
      <c r="H2849" t="e">
        <v>#N/A</v>
      </c>
      <c r="J2849" t="e">
        <v>#N/A</v>
      </c>
    </row>
    <row r="2850" spans="8:10">
      <c r="H2850" t="e">
        <v>#N/A</v>
      </c>
      <c r="J2850" t="e">
        <v>#N/A</v>
      </c>
    </row>
    <row r="2851" spans="8:10">
      <c r="H2851" t="e">
        <v>#N/A</v>
      </c>
      <c r="J2851" t="e">
        <v>#N/A</v>
      </c>
    </row>
    <row r="2852" spans="8:10">
      <c r="H2852" t="e">
        <v>#N/A</v>
      </c>
      <c r="J2852" t="e">
        <v>#N/A</v>
      </c>
    </row>
    <row r="2853" spans="8:10">
      <c r="H2853" t="e">
        <v>#N/A</v>
      </c>
      <c r="J2853" t="e">
        <v>#N/A</v>
      </c>
    </row>
    <row r="2854" spans="8:10">
      <c r="H2854" t="e">
        <v>#N/A</v>
      </c>
      <c r="J2854" t="e">
        <v>#N/A</v>
      </c>
    </row>
    <row r="2855" spans="8:10">
      <c r="H2855" t="e">
        <v>#N/A</v>
      </c>
      <c r="J2855" t="e">
        <v>#N/A</v>
      </c>
    </row>
    <row r="2856" spans="8:10">
      <c r="H2856" t="e">
        <v>#N/A</v>
      </c>
      <c r="J2856" t="e">
        <v>#N/A</v>
      </c>
    </row>
    <row r="2857" spans="8:10">
      <c r="H2857" t="e">
        <v>#N/A</v>
      </c>
      <c r="J2857" t="e">
        <v>#N/A</v>
      </c>
    </row>
    <row r="2858" spans="8:10">
      <c r="H2858" t="e">
        <v>#N/A</v>
      </c>
      <c r="J2858" t="e">
        <v>#N/A</v>
      </c>
    </row>
    <row r="2859" spans="8:10">
      <c r="H2859" t="e">
        <v>#N/A</v>
      </c>
      <c r="J2859" t="e">
        <v>#N/A</v>
      </c>
    </row>
    <row r="2860" spans="8:10">
      <c r="H2860" t="e">
        <v>#N/A</v>
      </c>
      <c r="J2860" t="e">
        <v>#N/A</v>
      </c>
    </row>
    <row r="2861" spans="8:10">
      <c r="H2861" t="e">
        <v>#N/A</v>
      </c>
      <c r="J2861" t="e">
        <v>#N/A</v>
      </c>
    </row>
    <row r="2862" spans="8:10">
      <c r="H2862" t="e">
        <v>#N/A</v>
      </c>
      <c r="J2862" t="e">
        <v>#N/A</v>
      </c>
    </row>
    <row r="2863" spans="8:10">
      <c r="H2863" t="e">
        <v>#N/A</v>
      </c>
      <c r="J2863" t="e">
        <v>#N/A</v>
      </c>
    </row>
    <row r="2864" spans="8:10">
      <c r="H2864" t="e">
        <v>#N/A</v>
      </c>
      <c r="J2864" t="e">
        <v>#N/A</v>
      </c>
    </row>
    <row r="2865" spans="8:10">
      <c r="H2865" t="e">
        <v>#N/A</v>
      </c>
      <c r="J2865" t="e">
        <v>#N/A</v>
      </c>
    </row>
    <row r="2866" spans="8:10">
      <c r="H2866" t="e">
        <v>#N/A</v>
      </c>
      <c r="J2866" t="e">
        <v>#N/A</v>
      </c>
    </row>
    <row r="2867" spans="8:10">
      <c r="H2867" t="e">
        <v>#N/A</v>
      </c>
      <c r="J2867" t="e">
        <v>#N/A</v>
      </c>
    </row>
    <row r="2868" spans="8:10">
      <c r="H2868" t="e">
        <v>#N/A</v>
      </c>
      <c r="J2868" t="e">
        <v>#N/A</v>
      </c>
    </row>
    <row r="2869" spans="8:10">
      <c r="H2869" t="e">
        <v>#N/A</v>
      </c>
      <c r="J2869" t="e">
        <v>#N/A</v>
      </c>
    </row>
    <row r="2870" spans="8:10">
      <c r="H2870" t="e">
        <v>#N/A</v>
      </c>
      <c r="J2870" t="e">
        <v>#N/A</v>
      </c>
    </row>
    <row r="2871" spans="8:10">
      <c r="H2871" t="e">
        <v>#N/A</v>
      </c>
      <c r="J2871" t="e">
        <v>#N/A</v>
      </c>
    </row>
    <row r="2872" spans="8:10">
      <c r="H2872" t="e">
        <v>#N/A</v>
      </c>
      <c r="J2872" t="e">
        <v>#N/A</v>
      </c>
    </row>
    <row r="2873" spans="8:10">
      <c r="H2873" t="e">
        <v>#N/A</v>
      </c>
      <c r="J2873" t="e">
        <v>#N/A</v>
      </c>
    </row>
    <row r="2874" spans="8:10">
      <c r="H2874" t="e">
        <v>#N/A</v>
      </c>
      <c r="J2874" t="e">
        <v>#N/A</v>
      </c>
    </row>
    <row r="2875" spans="8:10">
      <c r="H2875" t="e">
        <v>#N/A</v>
      </c>
      <c r="J2875" t="e">
        <v>#N/A</v>
      </c>
    </row>
    <row r="2876" spans="8:10">
      <c r="H2876" t="e">
        <v>#N/A</v>
      </c>
      <c r="J2876" t="e">
        <v>#N/A</v>
      </c>
    </row>
    <row r="2877" spans="8:10">
      <c r="H2877" t="e">
        <v>#N/A</v>
      </c>
      <c r="J2877" t="e">
        <v>#N/A</v>
      </c>
    </row>
    <row r="2878" spans="8:10">
      <c r="H2878" t="e">
        <v>#N/A</v>
      </c>
      <c r="J2878" t="e">
        <v>#N/A</v>
      </c>
    </row>
    <row r="2879" spans="8:10">
      <c r="H2879" t="e">
        <v>#N/A</v>
      </c>
      <c r="J2879" t="e">
        <v>#N/A</v>
      </c>
    </row>
    <row r="2880" spans="8:10">
      <c r="H2880" t="e">
        <v>#N/A</v>
      </c>
      <c r="J2880" t="e">
        <v>#N/A</v>
      </c>
    </row>
    <row r="2881" spans="8:10">
      <c r="H2881" t="e">
        <v>#N/A</v>
      </c>
      <c r="J2881" t="e">
        <v>#N/A</v>
      </c>
    </row>
    <row r="2882" spans="8:10">
      <c r="H2882" t="e">
        <v>#N/A</v>
      </c>
      <c r="J2882" t="e">
        <v>#N/A</v>
      </c>
    </row>
    <row r="2883" spans="8:10">
      <c r="H2883" t="e">
        <v>#N/A</v>
      </c>
      <c r="J2883" t="e">
        <v>#N/A</v>
      </c>
    </row>
    <row r="2884" spans="8:10">
      <c r="H2884" t="e">
        <v>#N/A</v>
      </c>
      <c r="J2884" t="e">
        <v>#N/A</v>
      </c>
    </row>
    <row r="2885" spans="8:10">
      <c r="H2885" t="e">
        <v>#N/A</v>
      </c>
      <c r="J2885" t="e">
        <v>#N/A</v>
      </c>
    </row>
    <row r="2886" spans="8:10">
      <c r="H2886" t="e">
        <v>#N/A</v>
      </c>
      <c r="J2886" t="e">
        <v>#N/A</v>
      </c>
    </row>
    <row r="2887" spans="8:10">
      <c r="H2887" t="e">
        <v>#N/A</v>
      </c>
      <c r="J2887" t="e">
        <v>#N/A</v>
      </c>
    </row>
    <row r="2888" spans="8:10">
      <c r="H2888" t="e">
        <v>#N/A</v>
      </c>
      <c r="J2888" t="e">
        <v>#N/A</v>
      </c>
    </row>
    <row r="2889" spans="8:10">
      <c r="H2889" t="e">
        <v>#N/A</v>
      </c>
      <c r="J2889" t="e">
        <v>#N/A</v>
      </c>
    </row>
    <row r="2890" spans="8:10">
      <c r="H2890" t="e">
        <v>#N/A</v>
      </c>
      <c r="J2890" t="e">
        <v>#N/A</v>
      </c>
    </row>
    <row r="2891" spans="8:10">
      <c r="H2891" t="e">
        <v>#N/A</v>
      </c>
      <c r="J2891" t="e">
        <v>#N/A</v>
      </c>
    </row>
    <row r="2892" spans="8:10">
      <c r="H2892" t="e">
        <v>#N/A</v>
      </c>
      <c r="J2892" t="e">
        <v>#N/A</v>
      </c>
    </row>
    <row r="2893" spans="8:10">
      <c r="H2893" t="e">
        <v>#N/A</v>
      </c>
      <c r="J2893" t="e">
        <v>#N/A</v>
      </c>
    </row>
    <row r="2894" spans="8:10">
      <c r="H2894" t="e">
        <v>#N/A</v>
      </c>
      <c r="J2894" t="e">
        <v>#N/A</v>
      </c>
    </row>
    <row r="2895" spans="8:10">
      <c r="H2895" t="e">
        <v>#N/A</v>
      </c>
      <c r="J2895" t="e">
        <v>#N/A</v>
      </c>
    </row>
    <row r="2896" spans="8:10">
      <c r="H2896" t="e">
        <v>#N/A</v>
      </c>
      <c r="J2896" t="e">
        <v>#N/A</v>
      </c>
    </row>
    <row r="2897" spans="8:10">
      <c r="H2897" t="e">
        <v>#N/A</v>
      </c>
      <c r="J2897" t="e">
        <v>#N/A</v>
      </c>
    </row>
    <row r="2898" spans="8:10">
      <c r="H2898" t="e">
        <v>#N/A</v>
      </c>
      <c r="J2898" t="e">
        <v>#N/A</v>
      </c>
    </row>
    <row r="2899" spans="8:10">
      <c r="H2899" t="e">
        <v>#N/A</v>
      </c>
      <c r="J2899" t="e">
        <v>#N/A</v>
      </c>
    </row>
    <row r="2900" spans="8:10">
      <c r="H2900" t="e">
        <v>#N/A</v>
      </c>
      <c r="J2900" t="e">
        <v>#N/A</v>
      </c>
    </row>
    <row r="2901" spans="8:10">
      <c r="H2901" t="e">
        <v>#N/A</v>
      </c>
      <c r="J2901" t="e">
        <v>#N/A</v>
      </c>
    </row>
    <row r="2902" spans="8:10">
      <c r="H2902" t="e">
        <v>#N/A</v>
      </c>
      <c r="J2902" t="e">
        <v>#N/A</v>
      </c>
    </row>
    <row r="2903" spans="8:10">
      <c r="H2903" t="e">
        <v>#N/A</v>
      </c>
      <c r="J2903" t="e">
        <v>#N/A</v>
      </c>
    </row>
    <row r="2904" spans="8:10">
      <c r="H2904" t="e">
        <v>#N/A</v>
      </c>
      <c r="J2904" t="e">
        <v>#N/A</v>
      </c>
    </row>
    <row r="2905" spans="8:10">
      <c r="H2905" t="e">
        <v>#N/A</v>
      </c>
      <c r="J2905" t="e">
        <v>#N/A</v>
      </c>
    </row>
    <row r="2906" spans="8:10">
      <c r="H2906" t="e">
        <v>#N/A</v>
      </c>
      <c r="J2906" t="e">
        <v>#N/A</v>
      </c>
    </row>
    <row r="2907" spans="8:10">
      <c r="H2907" t="e">
        <v>#N/A</v>
      </c>
      <c r="J2907" t="e">
        <v>#N/A</v>
      </c>
    </row>
    <row r="2908" spans="8:10">
      <c r="H2908" t="e">
        <v>#N/A</v>
      </c>
      <c r="J2908" t="e">
        <v>#N/A</v>
      </c>
    </row>
    <row r="2909" spans="8:10">
      <c r="H2909" t="e">
        <v>#N/A</v>
      </c>
      <c r="J2909" t="e">
        <v>#N/A</v>
      </c>
    </row>
    <row r="2910" spans="8:10">
      <c r="H2910" t="e">
        <v>#N/A</v>
      </c>
      <c r="J2910" t="e">
        <v>#N/A</v>
      </c>
    </row>
    <row r="2911" spans="8:10">
      <c r="H2911" t="e">
        <v>#N/A</v>
      </c>
      <c r="J2911" t="e">
        <v>#N/A</v>
      </c>
    </row>
    <row r="2912" spans="8:10">
      <c r="H2912" t="e">
        <v>#N/A</v>
      </c>
      <c r="J2912" t="e">
        <v>#N/A</v>
      </c>
    </row>
    <row r="2913" spans="8:10">
      <c r="H2913" t="e">
        <v>#N/A</v>
      </c>
      <c r="J2913" t="e">
        <v>#N/A</v>
      </c>
    </row>
    <row r="2914" spans="8:10">
      <c r="H2914" t="e">
        <v>#N/A</v>
      </c>
      <c r="J2914" t="e">
        <v>#N/A</v>
      </c>
    </row>
    <row r="2915" spans="8:10">
      <c r="H2915" t="e">
        <v>#N/A</v>
      </c>
      <c r="J2915" t="e">
        <v>#N/A</v>
      </c>
    </row>
    <row r="2916" spans="8:10">
      <c r="H2916" t="e">
        <v>#N/A</v>
      </c>
      <c r="J2916" t="e">
        <v>#N/A</v>
      </c>
    </row>
    <row r="2917" spans="8:10">
      <c r="H2917" t="e">
        <v>#N/A</v>
      </c>
      <c r="J2917" t="e">
        <v>#N/A</v>
      </c>
    </row>
    <row r="2918" spans="8:10">
      <c r="H2918" t="e">
        <v>#N/A</v>
      </c>
      <c r="J2918" t="e">
        <v>#N/A</v>
      </c>
    </row>
    <row r="2919" spans="8:10">
      <c r="H2919" t="e">
        <v>#N/A</v>
      </c>
      <c r="J2919" t="e">
        <v>#N/A</v>
      </c>
    </row>
    <row r="2920" spans="8:10">
      <c r="H2920" t="e">
        <v>#N/A</v>
      </c>
      <c r="J2920" t="e">
        <v>#N/A</v>
      </c>
    </row>
    <row r="2921" spans="8:10">
      <c r="H2921" t="e">
        <v>#N/A</v>
      </c>
      <c r="J2921" t="e">
        <v>#N/A</v>
      </c>
    </row>
    <row r="2922" spans="8:10">
      <c r="H2922" t="e">
        <v>#N/A</v>
      </c>
      <c r="J2922" t="e">
        <v>#N/A</v>
      </c>
    </row>
    <row r="2923" spans="8:10">
      <c r="H2923" t="e">
        <v>#N/A</v>
      </c>
      <c r="J2923" t="e">
        <v>#N/A</v>
      </c>
    </row>
    <row r="2924" spans="8:10">
      <c r="H2924" t="e">
        <v>#N/A</v>
      </c>
      <c r="J2924" t="e">
        <v>#N/A</v>
      </c>
    </row>
    <row r="2925" spans="8:10">
      <c r="H2925" t="e">
        <v>#N/A</v>
      </c>
      <c r="J2925" t="e">
        <v>#N/A</v>
      </c>
    </row>
    <row r="2926" spans="8:10">
      <c r="H2926" t="e">
        <v>#N/A</v>
      </c>
      <c r="J2926" t="e">
        <v>#N/A</v>
      </c>
    </row>
    <row r="2927" spans="8:10">
      <c r="H2927" t="e">
        <v>#N/A</v>
      </c>
      <c r="J2927" t="e">
        <v>#N/A</v>
      </c>
    </row>
    <row r="2928" spans="8:10">
      <c r="H2928" t="e">
        <v>#N/A</v>
      </c>
      <c r="J2928" t="e">
        <v>#N/A</v>
      </c>
    </row>
    <row r="2929" spans="8:10">
      <c r="H2929" t="e">
        <v>#N/A</v>
      </c>
      <c r="J2929" t="e">
        <v>#N/A</v>
      </c>
    </row>
    <row r="2930" spans="8:10">
      <c r="H2930" t="e">
        <v>#N/A</v>
      </c>
      <c r="J2930" t="e">
        <v>#N/A</v>
      </c>
    </row>
    <row r="2931" spans="8:10">
      <c r="H2931" t="e">
        <v>#N/A</v>
      </c>
      <c r="J2931" t="e">
        <v>#N/A</v>
      </c>
    </row>
    <row r="2932" spans="8:10">
      <c r="H2932" t="e">
        <v>#N/A</v>
      </c>
      <c r="J2932" t="e">
        <v>#N/A</v>
      </c>
    </row>
    <row r="2933" spans="8:10">
      <c r="H2933" t="e">
        <v>#N/A</v>
      </c>
      <c r="J2933" t="e">
        <v>#N/A</v>
      </c>
    </row>
    <row r="2934" spans="8:10">
      <c r="H2934" t="e">
        <v>#N/A</v>
      </c>
      <c r="J2934" t="e">
        <v>#N/A</v>
      </c>
    </row>
    <row r="2935" spans="8:10">
      <c r="H2935" t="e">
        <v>#N/A</v>
      </c>
      <c r="J2935" t="e">
        <v>#N/A</v>
      </c>
    </row>
    <row r="2936" spans="8:10">
      <c r="H2936" t="e">
        <v>#N/A</v>
      </c>
      <c r="J2936" t="e">
        <v>#N/A</v>
      </c>
    </row>
    <row r="2937" spans="8:10">
      <c r="H2937" t="e">
        <v>#N/A</v>
      </c>
      <c r="J2937" t="e">
        <v>#N/A</v>
      </c>
    </row>
    <row r="2938" spans="8:10">
      <c r="H2938" t="e">
        <v>#N/A</v>
      </c>
      <c r="J2938" t="e">
        <v>#N/A</v>
      </c>
    </row>
    <row r="2939" spans="8:10">
      <c r="H2939" t="e">
        <v>#N/A</v>
      </c>
      <c r="J2939" t="e">
        <v>#N/A</v>
      </c>
    </row>
    <row r="2940" spans="8:10">
      <c r="H2940" t="e">
        <v>#N/A</v>
      </c>
      <c r="J2940" t="e">
        <v>#N/A</v>
      </c>
    </row>
    <row r="2941" spans="8:10">
      <c r="H2941" t="e">
        <v>#N/A</v>
      </c>
      <c r="J2941" t="e">
        <v>#N/A</v>
      </c>
    </row>
    <row r="2942" spans="8:10">
      <c r="H2942" t="e">
        <v>#N/A</v>
      </c>
      <c r="J2942" t="e">
        <v>#N/A</v>
      </c>
    </row>
    <row r="2943" spans="8:10">
      <c r="H2943" t="e">
        <v>#N/A</v>
      </c>
      <c r="J2943" t="e">
        <v>#N/A</v>
      </c>
    </row>
    <row r="2944" spans="8:10">
      <c r="H2944" t="e">
        <v>#N/A</v>
      </c>
      <c r="J2944" t="e">
        <v>#N/A</v>
      </c>
    </row>
    <row r="2945" spans="8:10">
      <c r="H2945" t="e">
        <v>#N/A</v>
      </c>
      <c r="J2945" t="e">
        <v>#N/A</v>
      </c>
    </row>
    <row r="2946" spans="8:10">
      <c r="H2946" t="e">
        <v>#N/A</v>
      </c>
      <c r="J2946" t="e">
        <v>#N/A</v>
      </c>
    </row>
    <row r="2947" spans="8:10">
      <c r="H2947" t="e">
        <v>#N/A</v>
      </c>
      <c r="J2947" t="e">
        <v>#N/A</v>
      </c>
    </row>
    <row r="2948" spans="8:10">
      <c r="H2948" t="e">
        <v>#N/A</v>
      </c>
      <c r="J2948" t="e">
        <v>#N/A</v>
      </c>
    </row>
    <row r="2949" spans="8:10">
      <c r="H2949" t="e">
        <v>#N/A</v>
      </c>
      <c r="J2949" t="e">
        <v>#N/A</v>
      </c>
    </row>
    <row r="2950" spans="8:10">
      <c r="H2950" t="e">
        <v>#N/A</v>
      </c>
      <c r="J2950" t="e">
        <v>#N/A</v>
      </c>
    </row>
    <row r="2951" spans="8:10">
      <c r="H2951" t="e">
        <v>#N/A</v>
      </c>
      <c r="J2951" t="e">
        <v>#N/A</v>
      </c>
    </row>
    <row r="2952" spans="8:10">
      <c r="H2952" t="e">
        <v>#N/A</v>
      </c>
      <c r="J2952" t="e">
        <v>#N/A</v>
      </c>
    </row>
    <row r="2953" spans="8:10">
      <c r="H2953" t="e">
        <v>#N/A</v>
      </c>
      <c r="J2953" t="e">
        <v>#N/A</v>
      </c>
    </row>
    <row r="2954" spans="8:10">
      <c r="H2954" t="e">
        <v>#N/A</v>
      </c>
      <c r="J2954" t="e">
        <v>#N/A</v>
      </c>
    </row>
    <row r="2955" spans="8:10">
      <c r="H2955" t="e">
        <v>#N/A</v>
      </c>
      <c r="J2955" t="e">
        <v>#N/A</v>
      </c>
    </row>
    <row r="2956" spans="8:10">
      <c r="H2956" t="e">
        <v>#N/A</v>
      </c>
      <c r="J2956" t="e">
        <v>#N/A</v>
      </c>
    </row>
    <row r="2957" spans="8:10">
      <c r="H2957" t="e">
        <v>#N/A</v>
      </c>
      <c r="J2957" t="e">
        <v>#N/A</v>
      </c>
    </row>
    <row r="2958" spans="8:10">
      <c r="H2958" t="e">
        <v>#N/A</v>
      </c>
      <c r="J2958" t="e">
        <v>#N/A</v>
      </c>
    </row>
    <row r="2959" spans="8:10">
      <c r="H2959" t="e">
        <v>#N/A</v>
      </c>
      <c r="J2959" t="e">
        <v>#N/A</v>
      </c>
    </row>
    <row r="2960" spans="8:10">
      <c r="H2960" t="e">
        <v>#N/A</v>
      </c>
      <c r="J2960" t="e">
        <v>#N/A</v>
      </c>
    </row>
    <row r="2961" spans="8:10">
      <c r="H2961" t="e">
        <v>#N/A</v>
      </c>
      <c r="J2961" t="e">
        <v>#N/A</v>
      </c>
    </row>
    <row r="2962" spans="8:10">
      <c r="H2962" t="e">
        <v>#N/A</v>
      </c>
      <c r="J2962" t="e">
        <v>#N/A</v>
      </c>
    </row>
    <row r="2963" spans="8:10">
      <c r="H2963" t="e">
        <v>#N/A</v>
      </c>
      <c r="J2963" t="e">
        <v>#N/A</v>
      </c>
    </row>
    <row r="2964" spans="8:10">
      <c r="H2964" t="e">
        <v>#N/A</v>
      </c>
      <c r="J2964" t="e">
        <v>#N/A</v>
      </c>
    </row>
    <row r="2965" spans="8:10">
      <c r="H2965" t="e">
        <v>#N/A</v>
      </c>
      <c r="J2965" t="e">
        <v>#N/A</v>
      </c>
    </row>
    <row r="2966" spans="8:10">
      <c r="H2966" t="e">
        <v>#N/A</v>
      </c>
      <c r="J2966" t="e">
        <v>#N/A</v>
      </c>
    </row>
    <row r="2967" spans="8:10">
      <c r="H2967" t="e">
        <v>#N/A</v>
      </c>
      <c r="J2967" t="e">
        <v>#N/A</v>
      </c>
    </row>
    <row r="2968" spans="8:10">
      <c r="H2968" t="e">
        <v>#N/A</v>
      </c>
      <c r="J2968" t="e">
        <v>#N/A</v>
      </c>
    </row>
    <row r="2969" spans="8:10">
      <c r="H2969" t="e">
        <v>#N/A</v>
      </c>
      <c r="J2969" t="e">
        <v>#N/A</v>
      </c>
    </row>
    <row r="2970" spans="8:10">
      <c r="H2970" t="e">
        <v>#N/A</v>
      </c>
      <c r="J2970" t="e">
        <v>#N/A</v>
      </c>
    </row>
    <row r="2971" spans="8:10">
      <c r="H2971" t="e">
        <v>#N/A</v>
      </c>
      <c r="J2971" t="e">
        <v>#N/A</v>
      </c>
    </row>
    <row r="2972" spans="8:10">
      <c r="H2972" t="e">
        <v>#N/A</v>
      </c>
      <c r="J2972" t="e">
        <v>#N/A</v>
      </c>
    </row>
    <row r="2973" spans="8:10">
      <c r="H2973" t="e">
        <v>#N/A</v>
      </c>
      <c r="J2973" t="e">
        <v>#N/A</v>
      </c>
    </row>
    <row r="2974" spans="8:10">
      <c r="H2974" t="e">
        <v>#N/A</v>
      </c>
      <c r="J2974" t="e">
        <v>#N/A</v>
      </c>
    </row>
    <row r="2975" spans="8:10">
      <c r="H2975" t="e">
        <v>#N/A</v>
      </c>
      <c r="J2975" t="e">
        <v>#N/A</v>
      </c>
    </row>
    <row r="2976" spans="8:10">
      <c r="H2976" t="e">
        <v>#N/A</v>
      </c>
      <c r="J2976" t="e">
        <v>#N/A</v>
      </c>
    </row>
    <row r="2977" spans="8:10">
      <c r="H2977" t="e">
        <v>#N/A</v>
      </c>
      <c r="J2977" t="e">
        <v>#N/A</v>
      </c>
    </row>
    <row r="2978" spans="8:10">
      <c r="H2978" t="e">
        <v>#N/A</v>
      </c>
      <c r="J2978" t="e">
        <v>#N/A</v>
      </c>
    </row>
    <row r="2979" spans="8:10">
      <c r="H2979" t="e">
        <v>#N/A</v>
      </c>
      <c r="J2979" t="e">
        <v>#N/A</v>
      </c>
    </row>
    <row r="2980" spans="8:10">
      <c r="H2980" t="e">
        <v>#N/A</v>
      </c>
      <c r="J2980" t="e">
        <v>#N/A</v>
      </c>
    </row>
    <row r="2981" spans="8:10">
      <c r="H2981" t="e">
        <v>#N/A</v>
      </c>
      <c r="J2981" t="e">
        <v>#N/A</v>
      </c>
    </row>
    <row r="2982" spans="8:10">
      <c r="H2982" t="e">
        <v>#N/A</v>
      </c>
      <c r="J2982" t="e">
        <v>#N/A</v>
      </c>
    </row>
    <row r="2983" spans="8:10">
      <c r="H2983" t="e">
        <v>#N/A</v>
      </c>
      <c r="J2983" t="e">
        <v>#N/A</v>
      </c>
    </row>
    <row r="2984" spans="8:10">
      <c r="H2984" t="e">
        <v>#N/A</v>
      </c>
      <c r="J2984" t="e">
        <v>#N/A</v>
      </c>
    </row>
    <row r="2985" spans="8:10">
      <c r="H2985" t="e">
        <v>#N/A</v>
      </c>
      <c r="J2985" t="e">
        <v>#N/A</v>
      </c>
    </row>
    <row r="2986" spans="8:10">
      <c r="H2986" t="e">
        <v>#N/A</v>
      </c>
      <c r="J2986" t="e">
        <v>#N/A</v>
      </c>
    </row>
    <row r="2987" spans="8:10">
      <c r="H2987" t="e">
        <v>#N/A</v>
      </c>
      <c r="J2987" t="e">
        <v>#N/A</v>
      </c>
    </row>
    <row r="2988" spans="8:10">
      <c r="H2988" t="e">
        <v>#N/A</v>
      </c>
      <c r="J2988" t="e">
        <v>#N/A</v>
      </c>
    </row>
    <row r="2989" spans="8:10">
      <c r="H2989" t="e">
        <v>#N/A</v>
      </c>
      <c r="J2989" t="e">
        <v>#N/A</v>
      </c>
    </row>
    <row r="2990" spans="8:10">
      <c r="H2990" t="e">
        <v>#N/A</v>
      </c>
      <c r="J2990" t="e">
        <v>#N/A</v>
      </c>
    </row>
    <row r="2991" spans="8:10">
      <c r="H2991" t="e">
        <v>#N/A</v>
      </c>
      <c r="J2991" t="e">
        <v>#N/A</v>
      </c>
    </row>
    <row r="2992" spans="8:10">
      <c r="H2992" t="e">
        <v>#N/A</v>
      </c>
      <c r="J2992" t="e">
        <v>#N/A</v>
      </c>
    </row>
    <row r="2993" spans="8:10">
      <c r="H2993" t="e">
        <v>#N/A</v>
      </c>
      <c r="J2993" t="e">
        <v>#N/A</v>
      </c>
    </row>
    <row r="2994" spans="8:10">
      <c r="H2994" t="e">
        <v>#N/A</v>
      </c>
      <c r="J2994" t="e">
        <v>#N/A</v>
      </c>
    </row>
    <row r="2995" spans="8:10">
      <c r="H2995" t="e">
        <v>#N/A</v>
      </c>
      <c r="J2995" t="e">
        <v>#N/A</v>
      </c>
    </row>
    <row r="2996" spans="8:10">
      <c r="H2996" t="e">
        <v>#N/A</v>
      </c>
      <c r="J2996" t="e">
        <v>#N/A</v>
      </c>
    </row>
    <row r="2997" spans="8:10">
      <c r="H2997" t="e">
        <v>#N/A</v>
      </c>
      <c r="J2997" t="e">
        <v>#N/A</v>
      </c>
    </row>
    <row r="2998" spans="8:10">
      <c r="H2998" t="e">
        <v>#N/A</v>
      </c>
      <c r="J2998" t="e">
        <v>#N/A</v>
      </c>
    </row>
    <row r="2999" spans="8:10">
      <c r="H2999" t="e">
        <v>#N/A</v>
      </c>
      <c r="J2999" t="e">
        <v>#N/A</v>
      </c>
    </row>
    <row r="3000" spans="8:10">
      <c r="H3000" t="e">
        <v>#N/A</v>
      </c>
      <c r="J3000" t="e">
        <v>#N/A</v>
      </c>
    </row>
    <row r="3001" spans="8:10">
      <c r="H3001" t="e">
        <v>#N/A</v>
      </c>
      <c r="J3001" t="e">
        <v>#N/A</v>
      </c>
    </row>
    <row r="3002" spans="8:10">
      <c r="H3002" t="e">
        <v>#N/A</v>
      </c>
      <c r="J3002" t="e">
        <v>#N/A</v>
      </c>
    </row>
    <row r="3003" spans="8:10">
      <c r="H3003" t="e">
        <v>#N/A</v>
      </c>
      <c r="J3003" t="e">
        <v>#N/A</v>
      </c>
    </row>
    <row r="3004" spans="8:10">
      <c r="H3004" t="e">
        <v>#N/A</v>
      </c>
      <c r="J3004" t="e">
        <v>#N/A</v>
      </c>
    </row>
    <row r="3005" spans="8:10">
      <c r="H3005" t="e">
        <v>#N/A</v>
      </c>
      <c r="J3005" t="e">
        <v>#N/A</v>
      </c>
    </row>
    <row r="3006" spans="8:10">
      <c r="H3006" t="e">
        <v>#N/A</v>
      </c>
      <c r="J3006" t="e">
        <v>#N/A</v>
      </c>
    </row>
    <row r="3007" spans="8:10">
      <c r="H3007" t="e">
        <v>#N/A</v>
      </c>
      <c r="J3007" t="e">
        <v>#N/A</v>
      </c>
    </row>
    <row r="3008" spans="8:10">
      <c r="H3008" t="e">
        <v>#N/A</v>
      </c>
      <c r="J3008" t="e">
        <v>#N/A</v>
      </c>
    </row>
    <row r="3009" spans="8:10">
      <c r="H3009" t="e">
        <v>#N/A</v>
      </c>
      <c r="J3009" t="e">
        <v>#N/A</v>
      </c>
    </row>
    <row r="3010" spans="8:10">
      <c r="H3010" t="e">
        <v>#N/A</v>
      </c>
      <c r="J3010" t="e">
        <v>#N/A</v>
      </c>
    </row>
  </sheetData>
  <autoFilter ref="I1:I3010" xr:uid="{00000000-0001-0000-0200-000000000000}"/>
  <sortState xmlns:xlrd2="http://schemas.microsoft.com/office/spreadsheetml/2017/richdata2" ref="F2:I3010">
    <sortCondition ref="H2:H3010"/>
    <sortCondition ref="I2:I3010"/>
  </sortState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ABC_менеджеры_сумма</vt:lpstr>
      <vt:lpstr>ABC_Менеджеры_сделки</vt:lpstr>
      <vt:lpstr>Данные</vt:lpstr>
      <vt:lpstr>ABC Менеджеры</vt:lpstr>
      <vt:lpstr>ABC_XYZ Клиенты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Яна</cp:lastModifiedBy>
  <dcterms:created xsi:type="dcterms:W3CDTF">2025-11-13T20:18:22Z</dcterms:created>
  <dcterms:modified xsi:type="dcterms:W3CDTF">2026-10-05T21:33:19Z</dcterms:modified>
</cp:coreProperties>
</file>